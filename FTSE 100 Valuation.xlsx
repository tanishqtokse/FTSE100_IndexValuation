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eb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bookViews>
    <workbookView xWindow="0" yWindow="0" windowWidth="8604" windowHeight="8304" firstSheet="1" activeTab="1"/>
  </bookViews>
  <sheets>
    <sheet name="Valuation&gt;" sheetId="1" r:id="rId1"/>
    <sheet name="FTSE 100 Valuation " sheetId="2" r:id="rId2"/>
    <sheet name="Data&gt; " sheetId="3" r:id="rId3"/>
    <sheet name="Exp Div&amp;Buybacks" sheetId="8" r:id="rId4"/>
    <sheet name="FTSE EPS Growth" sheetId="6" r:id="rId5"/>
    <sheet name="FTSE Historicals" sheetId="4" r:id="rId6"/>
    <sheet name="Risk Free Rate" sheetId="5" r:id="rId7"/>
    <sheet name="ERP Historicals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2" l="1"/>
  <c r="B29" i="2"/>
  <c r="D15" i="2" l="1"/>
  <c r="D12" i="2" l="1"/>
  <c r="D10" i="2"/>
  <c r="D11" i="2"/>
  <c r="D13" i="2" s="1"/>
  <c r="D9" i="2"/>
  <c r="B16" i="2"/>
  <c r="D8" i="2"/>
  <c r="D7" i="2"/>
  <c r="C7" i="2"/>
  <c r="J10" i="8"/>
  <c r="J8" i="8"/>
  <c r="J6" i="8"/>
  <c r="J4" i="8"/>
  <c r="J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" i="8"/>
  <c r="G10" i="7"/>
  <c r="G8" i="7"/>
  <c r="G6" i="7"/>
  <c r="G4" i="7"/>
  <c r="G2" i="7"/>
  <c r="G12" i="7"/>
  <c r="B31" i="7"/>
  <c r="B27" i="7"/>
  <c r="B28" i="7" s="1"/>
  <c r="B29" i="7" s="1"/>
  <c r="B30" i="7" s="1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4" i="7"/>
  <c r="N10" i="6"/>
  <c r="N8" i="6"/>
  <c r="N6" i="6"/>
  <c r="N4" i="6"/>
  <c r="N2" i="6"/>
  <c r="J24" i="6"/>
  <c r="J25" i="6"/>
  <c r="J26" i="6"/>
  <c r="J27" i="6"/>
  <c r="J28" i="6"/>
  <c r="I19" i="6"/>
  <c r="I20" i="6"/>
  <c r="I21" i="6"/>
  <c r="I22" i="6"/>
  <c r="I23" i="6"/>
  <c r="I24" i="6"/>
  <c r="I25" i="6"/>
  <c r="I26" i="6"/>
  <c r="I27" i="6"/>
  <c r="I28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J23" i="6"/>
  <c r="I18" i="6"/>
  <c r="H13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8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6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3" i="6"/>
  <c r="N12" i="5"/>
  <c r="N10" i="5"/>
  <c r="N8" i="5"/>
  <c r="N6" i="5"/>
  <c r="N4" i="5"/>
  <c r="N2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27" i="5"/>
  <c r="I28" i="5" s="1"/>
  <c r="I23" i="5"/>
  <c r="I24" i="5" s="1"/>
  <c r="I25" i="5" s="1"/>
  <c r="I26" i="5" s="1"/>
  <c r="I5" i="5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4" i="5"/>
  <c r="O10" i="4"/>
  <c r="O8" i="4"/>
  <c r="O6" i="4"/>
  <c r="O4" i="4"/>
  <c r="O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4" i="4"/>
  <c r="J3" i="4"/>
  <c r="C18" i="2" l="1"/>
  <c r="E18" i="2" s="1"/>
  <c r="C28" i="2"/>
  <c r="C22" i="2"/>
  <c r="E22" i="2" s="1"/>
  <c r="C27" i="2"/>
  <c r="E27" i="2" s="1"/>
  <c r="C26" i="2"/>
  <c r="E26" i="2" s="1"/>
  <c r="C20" i="2"/>
  <c r="E20" i="2" s="1"/>
  <c r="C23" i="2"/>
  <c r="E23" i="2" s="1"/>
  <c r="C17" i="2"/>
  <c r="E17" i="2" s="1"/>
  <c r="C16" i="2"/>
  <c r="E16" i="2" s="1"/>
  <c r="C21" i="2"/>
  <c r="E21" i="2" s="1"/>
  <c r="C25" i="2"/>
  <c r="E25" i="2" s="1"/>
  <c r="C19" i="2"/>
  <c r="E19" i="2" s="1"/>
  <c r="C15" i="2"/>
  <c r="E15" i="2" s="1"/>
  <c r="C24" i="2"/>
  <c r="E24" i="2" s="1"/>
  <c r="B17" i="2"/>
  <c r="B18" i="2" s="1"/>
  <c r="B19" i="2" s="1"/>
  <c r="E28" i="2" l="1"/>
  <c r="E5" i="2" s="1"/>
  <c r="C29" i="2"/>
  <c r="E29" i="2" s="1"/>
  <c r="D16" i="2"/>
  <c r="D22" i="2"/>
  <c r="D28" i="2"/>
  <c r="D17" i="2"/>
  <c r="D23" i="2"/>
  <c r="D18" i="2"/>
  <c r="D24" i="2"/>
  <c r="D27" i="2"/>
  <c r="D19" i="2"/>
  <c r="D25" i="2"/>
  <c r="D20" i="2"/>
  <c r="D26" i="2"/>
  <c r="D21" i="2"/>
  <c r="B20" i="2"/>
  <c r="B21" i="2" l="1"/>
  <c r="B22" i="2" l="1"/>
  <c r="B23" i="2" l="1"/>
  <c r="B24" i="2" l="1"/>
  <c r="B25" i="2" l="1"/>
  <c r="B26" i="2" l="1"/>
  <c r="B27" i="2" l="1"/>
  <c r="B28" i="2" l="1"/>
  <c r="E7" i="2" l="1"/>
  <c r="I4" i="4" l="1"/>
  <c r="J4" i="4" s="1"/>
  <c r="I5" i="4" l="1"/>
  <c r="I6" i="4" l="1"/>
  <c r="J5" i="4"/>
  <c r="I7" i="4" l="1"/>
  <c r="J6" i="4"/>
  <c r="I8" i="4" l="1"/>
  <c r="J7" i="4"/>
  <c r="I9" i="4" l="1"/>
  <c r="J8" i="4"/>
  <c r="I10" i="4" l="1"/>
  <c r="J9" i="4"/>
  <c r="I11" i="4" l="1"/>
  <c r="J10" i="4"/>
  <c r="I12" i="4" l="1"/>
  <c r="J11" i="4"/>
  <c r="I13" i="4" l="1"/>
  <c r="J12" i="4"/>
  <c r="I14" i="4" l="1"/>
  <c r="J13" i="4"/>
  <c r="I15" i="4" l="1"/>
  <c r="J14" i="4"/>
  <c r="I16" i="4" l="1"/>
  <c r="J15" i="4"/>
  <c r="I17" i="4" l="1"/>
  <c r="J16" i="4"/>
  <c r="I18" i="4" l="1"/>
  <c r="J17" i="4"/>
  <c r="I19" i="4" l="1"/>
  <c r="J18" i="4"/>
  <c r="I20" i="4" l="1"/>
  <c r="J19" i="4"/>
  <c r="I21" i="4" l="1"/>
  <c r="J20" i="4"/>
  <c r="I22" i="4" l="1"/>
  <c r="J21" i="4"/>
  <c r="I23" i="4" l="1"/>
  <c r="J22" i="4"/>
  <c r="I24" i="4" l="1"/>
  <c r="J23" i="4"/>
  <c r="I25" i="4" l="1"/>
  <c r="J24" i="4"/>
  <c r="I26" i="4" l="1"/>
  <c r="J25" i="4"/>
  <c r="J26" i="4" l="1"/>
  <c r="I27" i="4"/>
  <c r="I28" i="4" l="1"/>
  <c r="J28" i="4" s="1"/>
  <c r="J27" i="4"/>
</calcChain>
</file>

<file path=xl/comments1.xml><?xml version="1.0" encoding="utf-8"?>
<comments xmlns="http://schemas.openxmlformats.org/spreadsheetml/2006/main">
  <authors>
    <author>Tanishq Tokse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Tanishq Tokse:</t>
        </r>
        <r>
          <rPr>
            <sz val="9"/>
            <color indexed="81"/>
            <rFont val="Tahoma"/>
            <family val="2"/>
          </rPr>
          <t xml:space="preserve">
P/E ratio as of January of each year.
 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Tanishq Tokse:</t>
        </r>
        <r>
          <rPr>
            <sz val="9"/>
            <color indexed="81"/>
            <rFont val="Tahoma"/>
            <family val="2"/>
          </rPr>
          <t xml:space="preserve">
FTSE 100 EPS = Averagae Range / PE 
</t>
        </r>
      </text>
    </comment>
  </commentList>
</comments>
</file>

<file path=xl/comments2.xml><?xml version="1.0" encoding="utf-8"?>
<comments xmlns="http://schemas.openxmlformats.org/spreadsheetml/2006/main">
  <authors>
    <author>Tanishq Tokse</author>
  </authors>
  <commentList>
    <comment ref="J3" authorId="0" shapeId="0">
      <text>
        <r>
          <rPr>
            <b/>
            <sz val="9"/>
            <color indexed="81"/>
            <rFont val="Tahoma"/>
            <family val="2"/>
          </rPr>
          <t>Tanishq Tokse:</t>
        </r>
        <r>
          <rPr>
            <sz val="9"/>
            <color indexed="81"/>
            <rFont val="Tahoma"/>
            <family val="2"/>
          </rPr>
          <t xml:space="preserve">
FTSE Average Range is of whole years average.</t>
        </r>
      </text>
    </comment>
  </commentList>
</comments>
</file>

<file path=xl/comments3.xml><?xml version="1.0" encoding="utf-8"?>
<comments xmlns="http://schemas.openxmlformats.org/spreadsheetml/2006/main">
  <authors>
    <author>Tanishq Tokse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Tanishq Tokse:</t>
        </r>
        <r>
          <rPr>
            <sz val="9"/>
            <color indexed="81"/>
            <rFont val="Tahoma"/>
            <family val="2"/>
          </rPr>
          <t xml:space="preserve">
ERP as of 1st month of every year. (January)
ERP = Rm - Rf</t>
        </r>
      </text>
    </comment>
  </commentList>
</comments>
</file>

<file path=xl/sharedStrings.xml><?xml version="1.0" encoding="utf-8"?>
<sst xmlns="http://schemas.openxmlformats.org/spreadsheetml/2006/main" count="204" uniqueCount="67">
  <si>
    <t>Date</t>
  </si>
  <si>
    <t>Price</t>
  </si>
  <si>
    <t>Open</t>
  </si>
  <si>
    <t>High</t>
  </si>
  <si>
    <t>Low</t>
  </si>
  <si>
    <t>Change %</t>
  </si>
  <si>
    <t xml:space="preserve">Year </t>
  </si>
  <si>
    <t>FTSE Average Range</t>
  </si>
  <si>
    <t>Average Return %</t>
  </si>
  <si>
    <t>FTSE CAGR Average Return-</t>
  </si>
  <si>
    <t>20 Years</t>
  </si>
  <si>
    <t xml:space="preserve">15 Years </t>
  </si>
  <si>
    <t>10 Years</t>
  </si>
  <si>
    <t>5 Years</t>
  </si>
  <si>
    <t>3 Years</t>
  </si>
  <si>
    <t>Year</t>
  </si>
  <si>
    <t>10Y UK Gov. Bond Average Rate</t>
  </si>
  <si>
    <t>Average RFR-</t>
  </si>
  <si>
    <t>15 Years</t>
  </si>
  <si>
    <t xml:space="preserve">5 Years </t>
  </si>
  <si>
    <t>Latest</t>
  </si>
  <si>
    <t>EPS 3 Years CAGR</t>
  </si>
  <si>
    <t xml:space="preserve">PE Ratio </t>
  </si>
  <si>
    <t>EPS 5 Years CAGR</t>
  </si>
  <si>
    <t>EPS 10 Years CAGR</t>
  </si>
  <si>
    <t>EPS 15 Years CAGR</t>
  </si>
  <si>
    <t>EPS 20 Years CAGR</t>
  </si>
  <si>
    <t xml:space="preserve"> </t>
  </si>
  <si>
    <t>-</t>
  </si>
  <si>
    <t>FTSE 100 EPS</t>
  </si>
  <si>
    <t>FTSE Average EPS CAGR-</t>
  </si>
  <si>
    <t>FTSE Average Earnings Per Share</t>
  </si>
  <si>
    <t>Uk 10Y Gov. Bond Average Rate</t>
  </si>
  <si>
    <t>Source - Investing.com</t>
  </si>
  <si>
    <t>Source - worldperatio.com</t>
  </si>
  <si>
    <t>Average UK ERP</t>
  </si>
  <si>
    <t>Average UK ERP-</t>
  </si>
  <si>
    <t xml:space="preserve">Latest </t>
  </si>
  <si>
    <t>Average UK Equity Risk Premium</t>
  </si>
  <si>
    <t xml:space="preserve">Dividend Yield </t>
  </si>
  <si>
    <t xml:space="preserve">Buyback Yield </t>
  </si>
  <si>
    <t>Total Yield</t>
  </si>
  <si>
    <t>Source - Market Premia</t>
  </si>
  <si>
    <t xml:space="preserve">Source - Google </t>
  </si>
  <si>
    <t>Average FTSE Earning Yield-</t>
  </si>
  <si>
    <t>3 years</t>
  </si>
  <si>
    <t>FTSE Earnings Yield</t>
  </si>
  <si>
    <t>Key Inputs</t>
  </si>
  <si>
    <t>Assumpstions</t>
  </si>
  <si>
    <t xml:space="preserve">Expected Growth </t>
  </si>
  <si>
    <t xml:space="preserve">Risk Free Rate </t>
  </si>
  <si>
    <t>Equity Risk Premium</t>
  </si>
  <si>
    <t xml:space="preserve">Cost of Equity </t>
  </si>
  <si>
    <t>Expected Divident and Buyback</t>
  </si>
  <si>
    <t>Cumulative PV Factor (Risk Free Rate + Equity Risk Premium)</t>
  </si>
  <si>
    <t>Presented Value of Expected Dividents &amp; Buyback</t>
  </si>
  <si>
    <t>Valuation of FTSE 100</t>
  </si>
  <si>
    <t>Current FTSE 100 Price</t>
  </si>
  <si>
    <t>VALUATION OF FTSE 100</t>
  </si>
  <si>
    <t>Index -</t>
  </si>
  <si>
    <t>FTSE 100 Valuation calculation</t>
  </si>
  <si>
    <t>Expected Dividends and Buybacks calculation</t>
  </si>
  <si>
    <t>FTSE EPS Growth calculation with historical data</t>
  </si>
  <si>
    <t xml:space="preserve">FTSE Historical data </t>
  </si>
  <si>
    <t xml:space="preserve">United Kingdon Risk Free Rate </t>
  </si>
  <si>
    <t>United Kingdom Equity Risk Premium</t>
  </si>
  <si>
    <t>FTSE Total Earnings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</si>
</sst>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;@"/>
    <numFmt numFmtId="165" formatCode="0.0000"/>
    <numFmt numFmtId="166" formatCode="[$-409]d\-mmm\-yy;@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22"/>
      <color theme="0"/>
      <name val="Calibri"/>
      <family val="2"/>
    </font>
    <font>
      <b/>
      <sz val="24"/>
      <color theme="1"/>
      <name val="Calibri"/>
      <family val="2"/>
    </font>
    <font>
      <sz val="11"/>
      <color theme="4" tint="-0.499984740745262"/>
      <name val="Calibri"/>
      <family val="2"/>
    </font>
    <font>
      <b/>
      <sz val="20"/>
      <color theme="1"/>
      <name val="Calibri"/>
      <family val="2"/>
    </font>
    <font>
      <b/>
      <sz val="11"/>
      <color theme="0" tint="-4.9989318521683403E-2"/>
      <name val="Calibri"/>
      <family val="2"/>
    </font>
    <font>
      <sz val="11"/>
      <color theme="0" tint="-4.9989318521683403E-2"/>
      <name val="Calibri"/>
      <family val="2"/>
    </font>
    <font>
      <b/>
      <sz val="28"/>
      <color theme="4" tint="-0.499984740745262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0"/>
      <name val="Calibri"/>
      <family val="2"/>
    </font>
    <font>
      <b/>
      <u/>
      <sz val="2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/>
    <xf numFmtId="0" fontId="2" fillId="4" borderId="3" xfId="0" applyFont="1" applyFill="1" applyBorder="1"/>
    <xf numFmtId="0" fontId="0" fillId="0" borderId="0" xfId="0" applyBorder="1"/>
    <xf numFmtId="10" fontId="0" fillId="0" borderId="5" xfId="1" applyNumberFormat="1" applyFont="1" applyBorder="1"/>
    <xf numFmtId="0" fontId="0" fillId="0" borderId="7" xfId="0" applyBorder="1"/>
    <xf numFmtId="10" fontId="0" fillId="0" borderId="8" xfId="1" applyNumberFormat="1" applyFont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0" borderId="4" xfId="0" applyBorder="1" applyAlignment="1">
      <alignment horizontal="left"/>
    </xf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left"/>
    </xf>
    <xf numFmtId="2" fontId="0" fillId="0" borderId="7" xfId="0" applyNumberFormat="1" applyBorder="1"/>
    <xf numFmtId="10" fontId="0" fillId="2" borderId="0" xfId="0" applyNumberFormat="1" applyFill="1"/>
    <xf numFmtId="10" fontId="0" fillId="2" borderId="0" xfId="1" applyNumberFormat="1" applyFont="1" applyFill="1"/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10" fontId="0" fillId="0" borderId="0" xfId="1" applyNumberFormat="1" applyFont="1" applyBorder="1"/>
    <xf numFmtId="10" fontId="0" fillId="0" borderId="7" xfId="1" applyNumberFormat="1" applyFont="1" applyBorder="1"/>
    <xf numFmtId="0" fontId="2" fillId="4" borderId="9" xfId="0" applyFont="1" applyFill="1" applyBorder="1"/>
    <xf numFmtId="0" fontId="2" fillId="4" borderId="1" xfId="0" applyFont="1" applyFill="1" applyBorder="1"/>
    <xf numFmtId="4" fontId="2" fillId="4" borderId="1" xfId="0" applyNumberFormat="1" applyFont="1" applyFill="1" applyBorder="1" applyAlignment="1">
      <alignment horizontal="left"/>
    </xf>
    <xf numFmtId="10" fontId="0" fillId="0" borderId="5" xfId="0" applyNumberFormat="1" applyBorder="1"/>
    <xf numFmtId="10" fontId="0" fillId="0" borderId="8" xfId="0" applyNumberFormat="1" applyBorder="1"/>
    <xf numFmtId="4" fontId="2" fillId="4" borderId="0" xfId="0" applyNumberFormat="1" applyFont="1" applyFill="1" applyBorder="1" applyAlignment="1">
      <alignment horizontal="left"/>
    </xf>
    <xf numFmtId="4" fontId="2" fillId="4" borderId="9" xfId="0" applyNumberFormat="1" applyFont="1" applyFill="1" applyBorder="1" applyAlignment="1">
      <alignment horizontal="left"/>
    </xf>
    <xf numFmtId="0" fontId="0" fillId="0" borderId="4" xfId="0" applyBorder="1"/>
    <xf numFmtId="10" fontId="0" fillId="0" borderId="0" xfId="0" applyNumberFormat="1" applyBorder="1"/>
    <xf numFmtId="0" fontId="0" fillId="0" borderId="6" xfId="0" applyBorder="1"/>
    <xf numFmtId="0" fontId="8" fillId="3" borderId="10" xfId="0" applyFont="1" applyFill="1" applyBorder="1" applyAlignment="1">
      <alignment horizontal="center"/>
    </xf>
    <xf numFmtId="0" fontId="2" fillId="3" borderId="10" xfId="0" applyFont="1" applyFill="1" applyBorder="1"/>
    <xf numFmtId="0" fontId="3" fillId="0" borderId="10" xfId="0" applyFont="1" applyBorder="1" applyAlignment="1">
      <alignment horizontal="center"/>
    </xf>
    <xf numFmtId="166" fontId="0" fillId="0" borderId="10" xfId="0" applyNumberForma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0" fillId="0" borderId="10" xfId="0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/>
    <xf numFmtId="4" fontId="14" fillId="7" borderId="0" xfId="0" applyNumberFormat="1" applyFont="1" applyFill="1" applyBorder="1" applyAlignment="1">
      <alignment horizontal="left"/>
    </xf>
    <xf numFmtId="0" fontId="16" fillId="0" borderId="0" xfId="0" applyFont="1" applyBorder="1"/>
    <xf numFmtId="0" fontId="0" fillId="0" borderId="14" xfId="0" applyBorder="1"/>
    <xf numFmtId="0" fontId="17" fillId="0" borderId="0" xfId="0" applyFont="1" applyBorder="1"/>
    <xf numFmtId="0" fontId="17" fillId="0" borderId="18" xfId="0" applyFont="1" applyBorder="1"/>
    <xf numFmtId="0" fontId="18" fillId="6" borderId="17" xfId="0" applyFont="1" applyFill="1" applyBorder="1"/>
    <xf numFmtId="0" fontId="19" fillId="6" borderId="12" xfId="0" applyFont="1" applyFill="1" applyBorder="1"/>
    <xf numFmtId="0" fontId="18" fillId="6" borderId="12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18" fillId="6" borderId="19" xfId="0" applyFont="1" applyFill="1" applyBorder="1"/>
    <xf numFmtId="0" fontId="7" fillId="6" borderId="15" xfId="0" applyFont="1" applyFill="1" applyBorder="1"/>
    <xf numFmtId="0" fontId="18" fillId="6" borderId="15" xfId="0" applyFont="1" applyFill="1" applyBorder="1"/>
    <xf numFmtId="0" fontId="4" fillId="6" borderId="15" xfId="0" applyFont="1" applyFill="1" applyBorder="1"/>
    <xf numFmtId="0" fontId="4" fillId="6" borderId="16" xfId="0" applyFont="1" applyFill="1" applyBorder="1"/>
    <xf numFmtId="0" fontId="17" fillId="5" borderId="18" xfId="0" applyFont="1" applyFill="1" applyBorder="1"/>
    <xf numFmtId="0" fontId="17" fillId="5" borderId="0" xfId="0" applyFont="1" applyFill="1" applyBorder="1"/>
    <xf numFmtId="0" fontId="16" fillId="5" borderId="0" xfId="0" applyFont="1" applyFill="1" applyBorder="1"/>
    <xf numFmtId="0" fontId="0" fillId="5" borderId="0" xfId="0" applyFill="1" applyBorder="1"/>
    <xf numFmtId="0" fontId="0" fillId="5" borderId="14" xfId="0" applyFill="1" applyBorder="1"/>
    <xf numFmtId="0" fontId="17" fillId="5" borderId="19" xfId="0" applyFont="1" applyFill="1" applyBorder="1"/>
    <xf numFmtId="0" fontId="17" fillId="5" borderId="15" xfId="0" applyFont="1" applyFill="1" applyBorder="1"/>
    <xf numFmtId="0" fontId="16" fillId="5" borderId="15" xfId="0" applyFont="1" applyFill="1" applyBorder="1"/>
    <xf numFmtId="0" fontId="0" fillId="5" borderId="15" xfId="0" applyFill="1" applyBorder="1"/>
    <xf numFmtId="0" fontId="0" fillId="5" borderId="16" xfId="0" applyFill="1" applyBorder="1"/>
    <xf numFmtId="0" fontId="2" fillId="4" borderId="5" xfId="0" applyFont="1" applyFill="1" applyBorder="1"/>
    <xf numFmtId="0" fontId="15" fillId="0" borderId="0" xfId="0" applyFont="1" applyAlignment="1">
      <alignment horizontal="left" vertical="center"/>
    </xf>
    <xf numFmtId="0" fontId="9" fillId="3" borderId="9" xfId="0" applyFont="1" applyFill="1" applyBorder="1" applyAlignment="1">
      <alignment horizont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" fontId="7" fillId="4" borderId="0" xfId="0" applyNumberFormat="1" applyFont="1" applyFill="1" applyBorder="1" applyAlignment="1">
      <alignment horizontal="center"/>
    </xf>
    <xf numFmtId="4" fontId="2" fillId="4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theme="4" tint="-0.24994659260841701"/>
      </font>
      <fill>
        <patternFill>
          <bgColor theme="4" tint="0.79998168889431442"/>
        </patternFill>
      </fill>
    </dxf>
    <dxf>
      <font>
        <b/>
        <i val="0"/>
        <color theme="8" tint="-0.24994659260841701"/>
      </font>
      <fill>
        <patternFill>
          <bgColor theme="4" tint="0.59996337778862885"/>
        </patternFill>
      </fill>
    </dxf>
    <dxf>
      <font>
        <b/>
        <i val="0"/>
        <color theme="9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7" tint="-0.24994659260841701"/>
      </font>
      <fill>
        <patternFill>
          <fgColor theme="0"/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'Exp Div&amp;Buybacks'!$D$2</c:f>
              <c:strCache>
                <c:ptCount val="1"/>
                <c:pt idx="0">
                  <c:v>Dividend Yield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 Div&amp;Buybacks'!$B$3:$B$28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'Exp Div&amp;Buybacks'!$D$3:$D$28</c:f>
              <c:numCache>
                <c:formatCode>0.00%</c:formatCode>
                <c:ptCount val="26"/>
                <c:pt idx="0">
                  <c:v>3.0099999999999998E-2</c:v>
                </c:pt>
                <c:pt idx="1">
                  <c:v>3.0599999999999999E-2</c:v>
                </c:pt>
                <c:pt idx="2">
                  <c:v>3.4000000000000002E-2</c:v>
                </c:pt>
                <c:pt idx="3">
                  <c:v>3.1E-2</c:v>
                </c:pt>
                <c:pt idx="4">
                  <c:v>0.03</c:v>
                </c:pt>
                <c:pt idx="5">
                  <c:v>2.9000000000000001E-2</c:v>
                </c:pt>
                <c:pt idx="6">
                  <c:v>0.03</c:v>
                </c:pt>
                <c:pt idx="7">
                  <c:v>4.3999999999999997E-2</c:v>
                </c:pt>
                <c:pt idx="8">
                  <c:v>3.6999999999999998E-2</c:v>
                </c:pt>
                <c:pt idx="9">
                  <c:v>3.1E-2</c:v>
                </c:pt>
                <c:pt idx="10">
                  <c:v>3.5999999999999997E-2</c:v>
                </c:pt>
                <c:pt idx="11">
                  <c:v>3.5000000000000003E-2</c:v>
                </c:pt>
                <c:pt idx="12">
                  <c:v>3.3000000000000002E-2</c:v>
                </c:pt>
                <c:pt idx="13">
                  <c:v>3.2000000000000001E-2</c:v>
                </c:pt>
                <c:pt idx="14">
                  <c:v>3.7999999999999999E-2</c:v>
                </c:pt>
                <c:pt idx="15">
                  <c:v>0.04</c:v>
                </c:pt>
                <c:pt idx="16">
                  <c:v>3.6999999999999998E-2</c:v>
                </c:pt>
                <c:pt idx="17">
                  <c:v>4.1000000000000002E-2</c:v>
                </c:pt>
                <c:pt idx="18">
                  <c:v>4.2999999999999997E-2</c:v>
                </c:pt>
                <c:pt idx="19">
                  <c:v>3.5999999999999997E-2</c:v>
                </c:pt>
                <c:pt idx="20">
                  <c:v>3.7999999999999999E-2</c:v>
                </c:pt>
                <c:pt idx="21">
                  <c:v>3.5000000000000003E-2</c:v>
                </c:pt>
                <c:pt idx="22">
                  <c:v>3.6999999999999998E-2</c:v>
                </c:pt>
                <c:pt idx="23">
                  <c:v>3.5999999999999997E-2</c:v>
                </c:pt>
                <c:pt idx="24">
                  <c:v>3.5000000000000003E-2</c:v>
                </c:pt>
                <c:pt idx="25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E-470F-A5D5-506072762274}"/>
            </c:ext>
          </c:extLst>
        </c:ser>
        <c:ser>
          <c:idx val="1"/>
          <c:order val="1"/>
          <c:tx>
            <c:strRef>
              <c:f>'Exp Div&amp;Buybacks'!$E$2</c:f>
              <c:strCache>
                <c:ptCount val="1"/>
                <c:pt idx="0">
                  <c:v>Buyback Yield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'Exp Div&amp;Buybacks'!$B$3:$B$28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'Exp Div&amp;Buybacks'!$E$3:$E$28</c:f>
              <c:numCache>
                <c:formatCode>0.00%</c:formatCode>
                <c:ptCount val="26"/>
                <c:pt idx="0">
                  <c:v>5.0000000000000001E-3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5.0000000000000001E-3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7.0000000000000001E-3</c:v>
                </c:pt>
                <c:pt idx="13">
                  <c:v>8.9999999999999993E-3</c:v>
                </c:pt>
                <c:pt idx="14">
                  <c:v>8.0000000000000002E-3</c:v>
                </c:pt>
                <c:pt idx="15">
                  <c:v>7.0000000000000001E-3</c:v>
                </c:pt>
                <c:pt idx="16">
                  <c:v>0.01</c:v>
                </c:pt>
                <c:pt idx="17">
                  <c:v>1.2E-2</c:v>
                </c:pt>
                <c:pt idx="18">
                  <c:v>1.0999999999999999E-2</c:v>
                </c:pt>
                <c:pt idx="19">
                  <c:v>3.0000000000000001E-3</c:v>
                </c:pt>
                <c:pt idx="20">
                  <c:v>1.4999999999999999E-2</c:v>
                </c:pt>
                <c:pt idx="21">
                  <c:v>0.02</c:v>
                </c:pt>
                <c:pt idx="22">
                  <c:v>2.1000000000000001E-2</c:v>
                </c:pt>
                <c:pt idx="23">
                  <c:v>1.7999999999999999E-2</c:v>
                </c:pt>
                <c:pt idx="24">
                  <c:v>1.6E-2</c:v>
                </c:pt>
                <c:pt idx="25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E-470F-A5D5-506072762274}"/>
            </c:ext>
          </c:extLst>
        </c:ser>
        <c:ser>
          <c:idx val="2"/>
          <c:order val="2"/>
          <c:tx>
            <c:strRef>
              <c:f>'Exp Div&amp;Buybacks'!$F$2</c:f>
              <c:strCache>
                <c:ptCount val="1"/>
                <c:pt idx="0">
                  <c:v>Total Yield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'Exp Div&amp;Buybacks'!$B$3:$B$28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'Exp Div&amp;Buybacks'!$F$3:$F$28</c:f>
              <c:numCache>
                <c:formatCode>0.00%</c:formatCode>
                <c:ptCount val="26"/>
                <c:pt idx="0">
                  <c:v>3.5099999999999999E-2</c:v>
                </c:pt>
                <c:pt idx="1">
                  <c:v>3.4599999999999999E-2</c:v>
                </c:pt>
                <c:pt idx="2">
                  <c:v>0.04</c:v>
                </c:pt>
                <c:pt idx="3">
                  <c:v>3.9E-2</c:v>
                </c:pt>
                <c:pt idx="4">
                  <c:v>3.9E-2</c:v>
                </c:pt>
                <c:pt idx="5">
                  <c:v>0.04</c:v>
                </c:pt>
                <c:pt idx="6">
                  <c:v>4.1999999999999996E-2</c:v>
                </c:pt>
                <c:pt idx="7">
                  <c:v>4.7E-2</c:v>
                </c:pt>
                <c:pt idx="8">
                  <c:v>3.9E-2</c:v>
                </c:pt>
                <c:pt idx="9">
                  <c:v>3.5999999999999997E-2</c:v>
                </c:pt>
                <c:pt idx="10">
                  <c:v>3.9999999999999994E-2</c:v>
                </c:pt>
                <c:pt idx="11">
                  <c:v>0.04</c:v>
                </c:pt>
                <c:pt idx="12">
                  <c:v>0.04</c:v>
                </c:pt>
                <c:pt idx="13">
                  <c:v>4.1000000000000002E-2</c:v>
                </c:pt>
                <c:pt idx="14">
                  <c:v>4.5999999999999999E-2</c:v>
                </c:pt>
                <c:pt idx="15">
                  <c:v>4.7E-2</c:v>
                </c:pt>
                <c:pt idx="16">
                  <c:v>4.7E-2</c:v>
                </c:pt>
                <c:pt idx="17">
                  <c:v>5.3000000000000005E-2</c:v>
                </c:pt>
                <c:pt idx="18">
                  <c:v>5.3999999999999992E-2</c:v>
                </c:pt>
                <c:pt idx="19">
                  <c:v>3.9E-2</c:v>
                </c:pt>
                <c:pt idx="20">
                  <c:v>5.2999999999999999E-2</c:v>
                </c:pt>
                <c:pt idx="21">
                  <c:v>5.5000000000000007E-2</c:v>
                </c:pt>
                <c:pt idx="22">
                  <c:v>5.7999999999999996E-2</c:v>
                </c:pt>
                <c:pt idx="23">
                  <c:v>5.3999999999999992E-2</c:v>
                </c:pt>
                <c:pt idx="24">
                  <c:v>5.1000000000000004E-2</c:v>
                </c:pt>
                <c:pt idx="25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E-470F-A5D5-506072762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72287"/>
        <c:axId val="1104473535"/>
      </c:lineChart>
      <c:catAx>
        <c:axId val="110447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73535"/>
        <c:crosses val="autoZero"/>
        <c:auto val="1"/>
        <c:lblAlgn val="ctr"/>
        <c:lblOffset val="100"/>
        <c:noMultiLvlLbl val="0"/>
      </c:catAx>
      <c:valAx>
        <c:axId val="110447353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7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'Exp Div&amp;Buybacks'!$H$2:$I$10</c15:sqref>
                  </c15:fullRef>
                  <c15:levelRef>
                    <c15:sqref>'Exp Div&amp;Buybacks'!$I$2:$I$10</c15:sqref>
                  </c15:levelRef>
                </c:ext>
              </c:extLst>
              <c:f>'Exp Div&amp;Buybacks'!$I$2:$I$10</c:f>
              <c:strCache>
                <c:ptCount val="9"/>
                <c:pt idx="0">
                  <c:v>20 Years</c:v>
                </c:pt>
                <c:pt idx="2">
                  <c:v>15 Years</c:v>
                </c:pt>
                <c:pt idx="4">
                  <c:v>10 Years</c:v>
                </c:pt>
                <c:pt idx="6">
                  <c:v>5 Years</c:v>
                </c:pt>
                <c:pt idx="8">
                  <c:v>3 years</c:v>
                </c:pt>
              </c:strCache>
            </c:strRef>
          </c:cat>
          <c:val>
            <c:numRef>
              <c:f>'Exp Div&amp;Buybacks'!$J$2:$J$10</c:f>
              <c:numCache>
                <c:formatCode>General</c:formatCode>
                <c:ptCount val="9"/>
                <c:pt idx="0" formatCode="0.00%">
                  <c:v>4.6400000000000011E-2</c:v>
                </c:pt>
                <c:pt idx="2" formatCode="0.00%">
                  <c:v>4.8266666666666673E-2</c:v>
                </c:pt>
                <c:pt idx="4" formatCode="0.00%">
                  <c:v>5.1000000000000004E-2</c:v>
                </c:pt>
                <c:pt idx="6" formatCode="0.00%">
                  <c:v>5.2799999999999993E-2</c:v>
                </c:pt>
                <c:pt idx="8" formatCode="0.00%">
                  <c:v>5.0333333333333334E-2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C-44C5-A932-F3B7D5A8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885391"/>
        <c:axId val="983941935"/>
      </c:barChart>
      <c:catAx>
        <c:axId val="116988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941935"/>
        <c:crosses val="autoZero"/>
        <c:auto val="1"/>
        <c:lblAlgn val="ctr"/>
        <c:lblOffset val="100"/>
        <c:noMultiLvlLbl val="0"/>
      </c:catAx>
      <c:valAx>
        <c:axId val="98394193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8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'FTSE EPS Growth'!$L$2:$M$10</c15:sqref>
                  </c15:fullRef>
                  <c15:levelRef>
                    <c15:sqref>'FTSE EPS Growth'!$M$2:$M$10</c15:sqref>
                  </c15:levelRef>
                </c:ext>
              </c:extLst>
              <c:f>'FTSE EPS Growth'!$M$2:$M$10</c:f>
              <c:strCache>
                <c:ptCount val="9"/>
                <c:pt idx="0">
                  <c:v>20 Years</c:v>
                </c:pt>
                <c:pt idx="2">
                  <c:v>15 Years</c:v>
                </c:pt>
                <c:pt idx="4">
                  <c:v>10 Years</c:v>
                </c:pt>
                <c:pt idx="6">
                  <c:v>5 Years</c:v>
                </c:pt>
                <c:pt idx="8">
                  <c:v>3 Years</c:v>
                </c:pt>
              </c:strCache>
            </c:strRef>
          </c:cat>
          <c:val>
            <c:numRef>
              <c:f>'FTSE EPS Growth'!$N$2:$N$10</c:f>
              <c:numCache>
                <c:formatCode>General</c:formatCode>
                <c:ptCount val="9"/>
                <c:pt idx="0" formatCode="0.00%">
                  <c:v>4.0009942181204572E-2</c:v>
                </c:pt>
                <c:pt idx="2" formatCode="0.00%">
                  <c:v>2.9680113773084136E-2</c:v>
                </c:pt>
                <c:pt idx="4" formatCode="0.00%">
                  <c:v>3.2655410651654164E-2</c:v>
                </c:pt>
                <c:pt idx="6" formatCode="0.00%">
                  <c:v>4.7143740844575135E-2</c:v>
                </c:pt>
                <c:pt idx="8" formatCode="0.00%">
                  <c:v>4.7484579642204566E-2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F-4711-96AA-718BFBFDA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983407"/>
        <c:axId val="1174988815"/>
      </c:barChart>
      <c:catAx>
        <c:axId val="11749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88815"/>
        <c:crosses val="autoZero"/>
        <c:auto val="1"/>
        <c:lblAlgn val="ctr"/>
        <c:lblOffset val="100"/>
        <c:noMultiLvlLbl val="0"/>
      </c:catAx>
      <c:valAx>
        <c:axId val="117498881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8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'FTSE Historicals'!$J$2</c:f>
              <c:strCache>
                <c:ptCount val="1"/>
                <c:pt idx="0">
                  <c:v>FTSE Average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'FTSE Historicals'!$I$3:$I$28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'FTSE Historicals'!$J$3:$J$28</c:f>
              <c:numCache>
                <c:formatCode>0.00</c:formatCode>
                <c:ptCount val="26"/>
                <c:pt idx="0">
                  <c:v>5472.2999999999993</c:v>
                </c:pt>
                <c:pt idx="1">
                  <c:v>4565.791666666667</c:v>
                </c:pt>
                <c:pt idx="2">
                  <c:v>4029.835833333334</c:v>
                </c:pt>
                <c:pt idx="3">
                  <c:v>4519.8225000000002</c:v>
                </c:pt>
                <c:pt idx="4">
                  <c:v>5167.5108333333328</c:v>
                </c:pt>
                <c:pt idx="5">
                  <c:v>5940.9075000000003</c:v>
                </c:pt>
                <c:pt idx="6">
                  <c:v>6425.1899999999987</c:v>
                </c:pt>
                <c:pt idx="7">
                  <c:v>5356.9458333333341</c:v>
                </c:pt>
                <c:pt idx="8">
                  <c:v>4593</c:v>
                </c:pt>
                <c:pt idx="9">
                  <c:v>5418.041666666667</c:v>
                </c:pt>
                <c:pt idx="10">
                  <c:v>5727.6191666666673</c:v>
                </c:pt>
                <c:pt idx="11">
                  <c:v>5715.626666666667</c:v>
                </c:pt>
                <c:pt idx="12">
                  <c:v>6492.1175000000003</c:v>
                </c:pt>
                <c:pt idx="13">
                  <c:v>6691.229166666667</c:v>
                </c:pt>
                <c:pt idx="14">
                  <c:v>6575.0391666666656</c:v>
                </c:pt>
                <c:pt idx="15">
                  <c:v>6551.5749999999998</c:v>
                </c:pt>
                <c:pt idx="16">
                  <c:v>7367.0849999999991</c:v>
                </c:pt>
                <c:pt idx="17">
                  <c:v>7347.8625000000002</c:v>
                </c:pt>
                <c:pt idx="18">
                  <c:v>7305.6541666666662</c:v>
                </c:pt>
                <c:pt idx="19">
                  <c:v>6143.1283333333331</c:v>
                </c:pt>
                <c:pt idx="20">
                  <c:v>6962.8658333333333</c:v>
                </c:pt>
                <c:pt idx="21">
                  <c:v>7373.375</c:v>
                </c:pt>
                <c:pt idx="22">
                  <c:v>7615.274166666667</c:v>
                </c:pt>
                <c:pt idx="23">
                  <c:v>8112.4016666666676</c:v>
                </c:pt>
                <c:pt idx="24">
                  <c:v>9094.5350000000017</c:v>
                </c:pt>
                <c:pt idx="25">
                  <c:v>10503.187142857143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0-462C-8910-9B28708C8588}"/>
            </c:ext>
          </c:extLst>
        </c:ser>
        <c:ser>
          <c:idx val="1"/>
          <c:order val="1"/>
          <c:tx>
            <c:strRef>
              <c:f>'FTSE Historicals'!$K$2</c:f>
              <c:strCache>
                <c:ptCount val="1"/>
                <c:pt idx="0">
                  <c:v>Average Return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'FTSE Historicals'!$I$3:$I$28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'FTSE Historicals'!$K$3:$K$28</c:f>
              <c:numCache>
                <c:formatCode>0.00%</c:formatCode>
                <c:ptCount val="26"/>
                <c:pt idx="1">
                  <c:v>-0.16565399070470044</c:v>
                </c:pt>
                <c:pt idx="2">
                  <c:v>-0.11738508290822136</c:v>
                </c:pt>
                <c:pt idx="3">
                  <c:v>0.1215897339076879</c:v>
                </c:pt>
                <c:pt idx="4">
                  <c:v>0.14329950641498268</c:v>
                </c:pt>
                <c:pt idx="5">
                  <c:v>0.14966522405290883</c:v>
                </c:pt>
                <c:pt idx="6">
                  <c:v>8.1516586481105602E-2</c:v>
                </c:pt>
                <c:pt idx="7">
                  <c:v>-0.16625876692621766</c:v>
                </c:pt>
                <c:pt idx="8">
                  <c:v>-0.14260846704473251</c:v>
                </c:pt>
                <c:pt idx="9">
                  <c:v>0.17963023441468917</c:v>
                </c:pt>
                <c:pt idx="10">
                  <c:v>5.713826490198648E-2</c:v>
                </c:pt>
                <c:pt idx="11">
                  <c:v>-2.0938019185692269E-3</c:v>
                </c:pt>
                <c:pt idx="12">
                  <c:v>0.13585401542438036</c:v>
                </c:pt>
                <c:pt idx="13">
                  <c:v>3.0669757081055016E-2</c:v>
                </c:pt>
                <c:pt idx="14">
                  <c:v>-1.7364522587093423E-2</c:v>
                </c:pt>
                <c:pt idx="15">
                  <c:v>-3.5686732918066566E-3</c:v>
                </c:pt>
                <c:pt idx="16">
                  <c:v>0.12447541240083471</c:v>
                </c:pt>
                <c:pt idx="17">
                  <c:v>-2.6092409684426165E-3</c:v>
                </c:pt>
                <c:pt idx="18">
                  <c:v>-5.7443009219801944E-3</c:v>
                </c:pt>
                <c:pt idx="19">
                  <c:v>-0.15912686349670946</c:v>
                </c:pt>
                <c:pt idx="20">
                  <c:v>0.133439748532032</c:v>
                </c:pt>
                <c:pt idx="21">
                  <c:v>5.8956926141163768E-2</c:v>
                </c:pt>
                <c:pt idx="22">
                  <c:v>3.2807115692158106E-2</c:v>
                </c:pt>
                <c:pt idx="23">
                  <c:v>6.5280315471242023E-2</c:v>
                </c:pt>
                <c:pt idx="24">
                  <c:v>0.12106566879804004</c:v>
                </c:pt>
                <c:pt idx="25">
                  <c:v>0.15488995785459525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70-462C-8910-9B28708C8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333551"/>
        <c:axId val="1101335215"/>
      </c:lineChart>
      <c:catAx>
        <c:axId val="11013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35215"/>
        <c:crosses val="autoZero"/>
        <c:auto val="1"/>
        <c:lblAlgn val="ctr"/>
        <c:lblOffset val="100"/>
        <c:noMultiLvlLbl val="0"/>
      </c:catAx>
      <c:valAx>
        <c:axId val="110133521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'Risk Free Rate'!$J$2</c:f>
              <c:strCache>
                <c:ptCount val="1"/>
                <c:pt idx="0">
                  <c:v>10Y UK Gov. Bond Average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'Risk Free Rate'!$I$3:$I$28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xVal>
          <c:yVal>
            <c:numRef>
              <c:f>'Risk Free Rate'!$J$3:$J$28</c:f>
              <c:numCache>
                <c:formatCode>0.00%</c:formatCode>
                <c:ptCount val="26"/>
                <c:pt idx="0">
                  <c:v>4.9241666666666663E-2</c:v>
                </c:pt>
                <c:pt idx="1">
                  <c:v>4.8343333333333335E-2</c:v>
                </c:pt>
                <c:pt idx="2">
                  <c:v>4.4786666666666662E-2</c:v>
                </c:pt>
                <c:pt idx="3">
                  <c:v>4.880583333333334E-2</c:v>
                </c:pt>
                <c:pt idx="4">
                  <c:v>4.390666666666667E-2</c:v>
                </c:pt>
                <c:pt idx="5">
                  <c:v>4.52025E-2</c:v>
                </c:pt>
                <c:pt idx="6">
                  <c:v>4.9972500000000003E-2</c:v>
                </c:pt>
                <c:pt idx="7">
                  <c:v>4.4499166666666673E-2</c:v>
                </c:pt>
                <c:pt idx="8">
                  <c:v>3.6230833333333337E-2</c:v>
                </c:pt>
                <c:pt idx="9">
                  <c:v>3.4615000000000007E-2</c:v>
                </c:pt>
                <c:pt idx="10">
                  <c:v>2.9865833333333324E-2</c:v>
                </c:pt>
                <c:pt idx="11">
                  <c:v>1.82025E-2</c:v>
                </c:pt>
                <c:pt idx="12">
                  <c:v>2.3521666666666666E-2</c:v>
                </c:pt>
                <c:pt idx="13">
                  <c:v>2.452E-2</c:v>
                </c:pt>
                <c:pt idx="14">
                  <c:v>1.8076666666666671E-2</c:v>
                </c:pt>
                <c:pt idx="15">
                  <c:v>1.183E-2</c:v>
                </c:pt>
                <c:pt idx="16">
                  <c:v>1.2157499999999998E-2</c:v>
                </c:pt>
                <c:pt idx="17">
                  <c:v>1.3910833333333334E-2</c:v>
                </c:pt>
                <c:pt idx="18">
                  <c:v>8.4624999999999995E-3</c:v>
                </c:pt>
                <c:pt idx="19">
                  <c:v>2.7666666666666668E-3</c:v>
                </c:pt>
                <c:pt idx="20">
                  <c:v>7.8166666666666679E-3</c:v>
                </c:pt>
                <c:pt idx="21">
                  <c:v>2.4735833333333335E-2</c:v>
                </c:pt>
                <c:pt idx="22">
                  <c:v>4.0231666666666673E-2</c:v>
                </c:pt>
                <c:pt idx="23">
                  <c:v>4.1634999999999998E-2</c:v>
                </c:pt>
                <c:pt idx="24">
                  <c:v>4.548375000000001E-2</c:v>
                </c:pt>
                <c:pt idx="25">
                  <c:v>4.7501571428571428E-2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1-4D1C-9455-0380527C4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740927"/>
        <c:axId val="1096726783"/>
      </c:scatterChart>
      <c:valAx>
        <c:axId val="10967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26783"/>
        <c:crosses val="autoZero"/>
        <c:crossBetween val="midCat"/>
      </c:valAx>
      <c:valAx>
        <c:axId val="109672678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'ERP Historicals'!$C$2</c:f>
              <c:strCache>
                <c:ptCount val="1"/>
                <c:pt idx="0">
                  <c:v>Average UK ERP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'ERP Historicals'!$B$3:$B$31</c:f>
              <c:numCache>
                <c:formatCode>General</c:formatCode>
                <c:ptCount val="2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</c:numCache>
            </c:numRef>
          </c:xVal>
          <c:yVal>
            <c:numRef>
              <c:f>'ERP Historicals'!$C$3:$C$31</c:f>
              <c:numCache>
                <c:formatCode>0.00%</c:formatCode>
                <c:ptCount val="29"/>
                <c:pt idx="0">
                  <c:v>3.2500000000000001E-2</c:v>
                </c:pt>
                <c:pt idx="1">
                  <c:v>2.92E-2</c:v>
                </c:pt>
                <c:pt idx="2">
                  <c:v>2.24E-2</c:v>
                </c:pt>
                <c:pt idx="3">
                  <c:v>2.9000000000000001E-2</c:v>
                </c:pt>
                <c:pt idx="4">
                  <c:v>3.04E-2</c:v>
                </c:pt>
                <c:pt idx="5">
                  <c:v>4.4600000000000001E-2</c:v>
                </c:pt>
                <c:pt idx="6">
                  <c:v>3.6799999999999999E-2</c:v>
                </c:pt>
                <c:pt idx="7">
                  <c:v>4.0899999999999999E-2</c:v>
                </c:pt>
                <c:pt idx="8">
                  <c:v>4.5400000000000003E-2</c:v>
                </c:pt>
                <c:pt idx="9">
                  <c:v>3.9199999999999999E-2</c:v>
                </c:pt>
                <c:pt idx="10">
                  <c:v>5.4600000000000003E-2</c:v>
                </c:pt>
                <c:pt idx="11">
                  <c:v>7.1300000000000002E-2</c:v>
                </c:pt>
                <c:pt idx="12">
                  <c:v>0.05</c:v>
                </c:pt>
                <c:pt idx="13">
                  <c:v>5.2999999999999999E-2</c:v>
                </c:pt>
                <c:pt idx="14">
                  <c:v>7.1499999999999994E-2</c:v>
                </c:pt>
                <c:pt idx="15">
                  <c:v>5.8999999999999997E-2</c:v>
                </c:pt>
                <c:pt idx="16">
                  <c:v>4.7300000000000002E-2</c:v>
                </c:pt>
                <c:pt idx="17">
                  <c:v>5.1999999999999998E-2</c:v>
                </c:pt>
                <c:pt idx="18">
                  <c:v>5.3499999999999999E-2</c:v>
                </c:pt>
                <c:pt idx="19">
                  <c:v>5.5599999999999997E-2</c:v>
                </c:pt>
                <c:pt idx="20">
                  <c:v>5.4399999999999997E-2</c:v>
                </c:pt>
                <c:pt idx="21">
                  <c:v>7.0800000000000002E-2</c:v>
                </c:pt>
                <c:pt idx="22">
                  <c:v>6.5799999999999997E-2</c:v>
                </c:pt>
                <c:pt idx="23">
                  <c:v>6.6000000000000003E-2</c:v>
                </c:pt>
                <c:pt idx="24">
                  <c:v>5.57E-2</c:v>
                </c:pt>
                <c:pt idx="25">
                  <c:v>5.2400000000000002E-2</c:v>
                </c:pt>
                <c:pt idx="26">
                  <c:v>5.2999999999999999E-2</c:v>
                </c:pt>
                <c:pt idx="27">
                  <c:v>4.9000000000000002E-2</c:v>
                </c:pt>
                <c:pt idx="28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2-490A-9D1D-394EDC3F0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604319"/>
        <c:axId val="1174604735"/>
      </c:scatterChart>
      <c:valAx>
        <c:axId val="117460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04735"/>
        <c:crosses val="autoZero"/>
        <c:crossBetween val="midCat"/>
      </c:valAx>
      <c:valAx>
        <c:axId val="117460473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0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eb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0</xdr:rowOff>
    </xdr:from>
    <xdr:to>
      <xdr:col>1</xdr:col>
      <xdr:colOff>2095500</xdr:colOff>
      <xdr:row>3</xdr:row>
      <xdr:rowOff>90465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82880"/>
          <a:ext cx="2057400" cy="45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13</xdr:row>
      <xdr:rowOff>175260</xdr:rowOff>
    </xdr:from>
    <xdr:to>
      <xdr:col>12</xdr:col>
      <xdr:colOff>0</xdr:colOff>
      <xdr:row>26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2</xdr:row>
      <xdr:rowOff>3810</xdr:rowOff>
    </xdr:from>
    <xdr:to>
      <xdr:col>16</xdr:col>
      <xdr:colOff>7620</xdr:colOff>
      <xdr:row>12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14</xdr:row>
      <xdr:rowOff>45720</xdr:rowOff>
    </xdr:from>
    <xdr:to>
      <xdr:col>16</xdr:col>
      <xdr:colOff>15240</xdr:colOff>
      <xdr:row>28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7620</xdr:rowOff>
    </xdr:from>
    <xdr:to>
      <xdr:col>17</xdr:col>
      <xdr:colOff>7620</xdr:colOff>
      <xdr:row>27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15</xdr:row>
      <xdr:rowOff>0</xdr:rowOff>
    </xdr:from>
    <xdr:to>
      <xdr:col>18</xdr:col>
      <xdr:colOff>7620</xdr:colOff>
      <xdr:row>28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7620</xdr:rowOff>
    </xdr:from>
    <xdr:to>
      <xdr:col>9</xdr:col>
      <xdr:colOff>601980</xdr:colOff>
      <xdr:row>28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2:I16"/>
  <sheetViews>
    <sheetView showGridLines="0" workbookViewId="0">
      <selection activeCell="P29" sqref="P29"/>
    </sheetView>
  </sheetViews>
  <sheetFormatPr defaultRowHeight="14.4" x14ac:dyDescent="0.3"/>
  <cols>
    <col min="1" max="1" width="2" customWidth="1"/>
    <col min="2" max="2" width="2.109375" customWidth="1"/>
  </cols>
  <sheetData>
    <row r="2" spans="2:9" x14ac:dyDescent="0.3">
      <c r="C2" s="81" t="s">
        <v>58</v>
      </c>
      <c r="D2" s="81"/>
      <c r="E2" s="81"/>
      <c r="F2" s="81"/>
      <c r="G2" s="81"/>
      <c r="H2" s="81"/>
      <c r="I2" s="81"/>
    </row>
    <row r="3" spans="2:9" x14ac:dyDescent="0.3">
      <c r="C3" s="81"/>
      <c r="D3" s="81"/>
      <c r="E3" s="81"/>
      <c r="F3" s="81"/>
      <c r="G3" s="81"/>
      <c r="H3" s="81"/>
      <c r="I3" s="81"/>
    </row>
    <row r="4" spans="2:9" x14ac:dyDescent="0.3">
      <c r="C4" s="81"/>
      <c r="D4" s="81"/>
      <c r="E4" s="81"/>
      <c r="F4" s="81"/>
      <c r="G4" s="81"/>
      <c r="H4" s="81"/>
      <c r="I4" s="81"/>
    </row>
    <row r="5" spans="2:9" x14ac:dyDescent="0.3">
      <c r="C5" s="81"/>
      <c r="D5" s="81"/>
      <c r="E5" s="81"/>
      <c r="F5" s="81"/>
      <c r="G5" s="81"/>
      <c r="H5" s="81"/>
      <c r="I5" s="81"/>
    </row>
    <row r="6" spans="2:9" x14ac:dyDescent="0.3">
      <c r="C6" s="81"/>
      <c r="D6" s="81"/>
      <c r="E6" s="81"/>
      <c r="F6" s="81"/>
      <c r="G6" s="81"/>
      <c r="H6" s="81"/>
      <c r="I6" s="81"/>
    </row>
    <row r="7" spans="2:9" ht="15" thickBot="1" x14ac:dyDescent="0.35"/>
    <row r="8" spans="2:9" ht="23.4" customHeight="1" thickTop="1" x14ac:dyDescent="0.55000000000000004">
      <c r="B8" s="60"/>
      <c r="C8" s="61" t="s">
        <v>59</v>
      </c>
      <c r="D8" s="62"/>
      <c r="E8" s="62"/>
      <c r="F8" s="62"/>
      <c r="G8" s="63"/>
      <c r="H8" s="64"/>
    </row>
    <row r="9" spans="2:9" ht="9" customHeight="1" thickBot="1" x14ac:dyDescent="0.35">
      <c r="B9" s="65"/>
      <c r="C9" s="66"/>
      <c r="D9" s="67"/>
      <c r="E9" s="67"/>
      <c r="F9" s="67"/>
      <c r="G9" s="68"/>
      <c r="H9" s="69"/>
    </row>
    <row r="10" spans="2:9" ht="18.600000000000001" thickTop="1" x14ac:dyDescent="0.35">
      <c r="B10" s="59">
        <v>1</v>
      </c>
      <c r="C10" s="58" t="s">
        <v>60</v>
      </c>
      <c r="D10" s="56"/>
      <c r="E10" s="56"/>
      <c r="F10" s="56"/>
      <c r="G10" s="6"/>
      <c r="H10" s="57"/>
    </row>
    <row r="11" spans="2:9" ht="18" x14ac:dyDescent="0.35">
      <c r="B11" s="70">
        <v>2</v>
      </c>
      <c r="C11" s="71" t="s">
        <v>61</v>
      </c>
      <c r="D11" s="72"/>
      <c r="E11" s="72"/>
      <c r="F11" s="72"/>
      <c r="G11" s="73"/>
      <c r="H11" s="74"/>
    </row>
    <row r="12" spans="2:9" ht="18" x14ac:dyDescent="0.35">
      <c r="B12" s="59">
        <v>3</v>
      </c>
      <c r="C12" s="58" t="s">
        <v>62</v>
      </c>
      <c r="D12" s="56"/>
      <c r="E12" s="56"/>
      <c r="F12" s="56"/>
      <c r="G12" s="6"/>
      <c r="H12" s="57"/>
    </row>
    <row r="13" spans="2:9" ht="18" x14ac:dyDescent="0.35">
      <c r="B13" s="70">
        <v>4</v>
      </c>
      <c r="C13" s="71" t="s">
        <v>63</v>
      </c>
      <c r="D13" s="72"/>
      <c r="E13" s="72"/>
      <c r="F13" s="72"/>
      <c r="G13" s="73"/>
      <c r="H13" s="74"/>
    </row>
    <row r="14" spans="2:9" ht="18" x14ac:dyDescent="0.35">
      <c r="B14" s="59">
        <v>5</v>
      </c>
      <c r="C14" s="58" t="s">
        <v>64</v>
      </c>
      <c r="D14" s="56"/>
      <c r="E14" s="56"/>
      <c r="F14" s="56"/>
      <c r="G14" s="6"/>
      <c r="H14" s="57"/>
    </row>
    <row r="15" spans="2:9" ht="18.600000000000001" thickBot="1" x14ac:dyDescent="0.4">
      <c r="B15" s="75">
        <v>6</v>
      </c>
      <c r="C15" s="76" t="s">
        <v>65</v>
      </c>
      <c r="D15" s="77"/>
      <c r="E15" s="77"/>
      <c r="F15" s="77"/>
      <c r="G15" s="78"/>
      <c r="H15" s="79"/>
    </row>
    <row r="16" spans="2:9" ht="15" thickTop="1" x14ac:dyDescent="0.3"/>
  </sheetData>
  <mergeCells count="1">
    <mergeCell ref="C2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showGridLines="0" tabSelected="1" workbookViewId="0">
      <selection activeCell="C9" sqref="C9"/>
    </sheetView>
  </sheetViews>
  <sheetFormatPr defaultRowHeight="14.4" x14ac:dyDescent="0.3"/>
  <cols>
    <col min="1" max="1" width="2" customWidth="1"/>
    <col min="2" max="2" width="36.44140625" customWidth="1"/>
    <col min="3" max="3" width="23.21875" customWidth="1"/>
    <col min="4" max="4" width="37.33203125" customWidth="1"/>
    <col min="5" max="5" width="31.21875" customWidth="1"/>
    <col min="10" max="10" width="9.6640625" bestFit="1" customWidth="1"/>
    <col min="11" max="11" width="15.88671875" bestFit="1" customWidth="1"/>
    <col min="12" max="12" width="13.109375" bestFit="1" customWidth="1"/>
    <col min="13" max="13" width="18.44140625" bestFit="1" customWidth="1"/>
  </cols>
  <sheetData>
    <row r="3" spans="2:13" x14ac:dyDescent="0.3">
      <c r="J3" s="53" t="s">
        <v>41</v>
      </c>
      <c r="K3" s="53" t="s">
        <v>49</v>
      </c>
      <c r="L3" s="53" t="s">
        <v>50</v>
      </c>
      <c r="M3" s="53" t="s">
        <v>51</v>
      </c>
    </row>
    <row r="4" spans="2:13" x14ac:dyDescent="0.3">
      <c r="J4" s="54" t="s">
        <v>10</v>
      </c>
      <c r="K4" s="54" t="s">
        <v>10</v>
      </c>
      <c r="L4" s="54" t="s">
        <v>10</v>
      </c>
      <c r="M4" s="54" t="s">
        <v>10</v>
      </c>
    </row>
    <row r="5" spans="2:13" ht="28.8" x14ac:dyDescent="0.55000000000000004">
      <c r="B5" s="82" t="s">
        <v>56</v>
      </c>
      <c r="C5" s="82"/>
      <c r="D5" s="82"/>
      <c r="E5" s="83">
        <f>IF(OR(C8="",C9="",C10="",C11="",C11="",C12="",C12=""),"Provide correct Inputs",SUM(E15:E29))</f>
        <v>11417.141715500115</v>
      </c>
      <c r="J5" s="54" t="s">
        <v>18</v>
      </c>
      <c r="K5" s="54" t="s">
        <v>18</v>
      </c>
      <c r="L5" s="54" t="s">
        <v>18</v>
      </c>
      <c r="M5" s="54" t="s">
        <v>18</v>
      </c>
    </row>
    <row r="6" spans="2:13" ht="18" x14ac:dyDescent="0.35">
      <c r="B6" s="38" t="s">
        <v>47</v>
      </c>
      <c r="C6" s="39"/>
      <c r="D6" s="38" t="s">
        <v>48</v>
      </c>
      <c r="E6" s="84"/>
      <c r="J6" s="54" t="s">
        <v>12</v>
      </c>
      <c r="K6" s="54" t="s">
        <v>12</v>
      </c>
      <c r="L6" s="54" t="s">
        <v>12</v>
      </c>
      <c r="M6" s="54" t="s">
        <v>12</v>
      </c>
    </row>
    <row r="7" spans="2:13" x14ac:dyDescent="0.3">
      <c r="B7" s="40" t="s">
        <v>0</v>
      </c>
      <c r="C7" s="41">
        <f ca="1">TODAY()</f>
        <v>46255</v>
      </c>
      <c r="D7" s="41">
        <f ca="1">TODAY()</f>
        <v>46255</v>
      </c>
      <c r="E7" s="85" t="str">
        <f>IF(OR(C8="",C9="",C10="",C11="",C11="",C12="",C12=""),"Provide correct Inputs",IF(E5&gt;1.05*D8,"Undervalued",IF(E5&lt;0.95*D8,"Overvalued","Fairly Valued")))</f>
        <v>Fairly Valued</v>
      </c>
      <c r="J7" s="55" t="s">
        <v>13</v>
      </c>
      <c r="K7" s="54" t="s">
        <v>13</v>
      </c>
      <c r="L7" s="54" t="s">
        <v>19</v>
      </c>
      <c r="M7" s="54" t="s">
        <v>13</v>
      </c>
    </row>
    <row r="8" spans="2:13" x14ac:dyDescent="0.3">
      <c r="B8" s="40" t="s">
        <v>57</v>
      </c>
      <c r="C8" s="42">
        <v>10937.5</v>
      </c>
      <c r="D8" s="43">
        <f>C8</f>
        <v>10937.5</v>
      </c>
      <c r="E8" s="85"/>
      <c r="J8" s="54" t="s">
        <v>45</v>
      </c>
      <c r="K8" s="54" t="s">
        <v>14</v>
      </c>
      <c r="L8" s="54" t="s">
        <v>14</v>
      </c>
      <c r="M8" s="54" t="s">
        <v>14</v>
      </c>
    </row>
    <row r="9" spans="2:13" x14ac:dyDescent="0.3">
      <c r="B9" s="40" t="s">
        <v>41</v>
      </c>
      <c r="C9" s="42" t="s">
        <v>10</v>
      </c>
      <c r="D9" s="44">
        <f>VLOOKUP(C9,'Exp Div&amp;Buybacks'!I2:J10,2,0)</f>
        <v>4.6400000000000011E-2</v>
      </c>
      <c r="E9" s="85"/>
      <c r="J9" s="54"/>
      <c r="K9" s="54"/>
      <c r="L9" s="54" t="s">
        <v>20</v>
      </c>
      <c r="M9" s="54" t="s">
        <v>37</v>
      </c>
    </row>
    <row r="10" spans="2:13" x14ac:dyDescent="0.3">
      <c r="B10" s="40" t="s">
        <v>49</v>
      </c>
      <c r="C10" s="42" t="s">
        <v>10</v>
      </c>
      <c r="D10" s="44">
        <f>VLOOKUP(C10,'FTSE EPS Growth'!M2:N10,2,0)</f>
        <v>4.0009942181204572E-2</v>
      </c>
      <c r="E10" s="85"/>
    </row>
    <row r="11" spans="2:13" x14ac:dyDescent="0.3">
      <c r="B11" s="40" t="s">
        <v>50</v>
      </c>
      <c r="C11" s="42" t="s">
        <v>20</v>
      </c>
      <c r="D11" s="44">
        <f>VLOOKUP(C11,'Risk Free Rate'!M2:N12,2,0)</f>
        <v>4.7501571428571428E-2</v>
      </c>
      <c r="E11" s="85"/>
    </row>
    <row r="12" spans="2:13" x14ac:dyDescent="0.3">
      <c r="B12" s="40" t="s">
        <v>51</v>
      </c>
      <c r="C12" s="42" t="s">
        <v>37</v>
      </c>
      <c r="D12" s="44">
        <f>VLOOKUP(C12,'ERP Historicals'!F2:G12,2,0)</f>
        <v>4.2900000000000001E-2</v>
      </c>
      <c r="E12" s="85"/>
    </row>
    <row r="13" spans="2:13" ht="15.6" customHeight="1" x14ac:dyDescent="0.3">
      <c r="B13" s="40" t="s">
        <v>52</v>
      </c>
      <c r="C13" s="45"/>
      <c r="D13" s="44">
        <f>D11+D12</f>
        <v>9.0401571428571428E-2</v>
      </c>
      <c r="E13" s="86"/>
    </row>
    <row r="14" spans="2:13" ht="84" customHeight="1" x14ac:dyDescent="0.3">
      <c r="B14" s="46" t="s">
        <v>15</v>
      </c>
      <c r="C14" s="46" t="s">
        <v>53</v>
      </c>
      <c r="D14" s="46" t="s">
        <v>54</v>
      </c>
      <c r="E14" s="46" t="s">
        <v>55</v>
      </c>
    </row>
    <row r="15" spans="2:13" x14ac:dyDescent="0.3">
      <c r="B15" s="47">
        <v>2026</v>
      </c>
      <c r="C15" s="48">
        <f>$D$8*$D$9*(1+$D$10)^(B15-($B$15-1))</f>
        <v>527.8050456569614</v>
      </c>
      <c r="D15" s="49">
        <f>1/(1+$D$13)^(B15-($B$15-1))</f>
        <v>0.91709332249940412</v>
      </c>
      <c r="E15" s="48">
        <f>C15*D15</f>
        <v>484.04648295349239</v>
      </c>
    </row>
    <row r="16" spans="2:13" x14ac:dyDescent="0.3">
      <c r="B16" s="43">
        <f>B15+1</f>
        <v>2027</v>
      </c>
      <c r="C16" s="48">
        <f t="shared" ref="C16:C28" si="0">$D$8*$D$9*(1+$D$10)^(B16-($B$15-1))</f>
        <v>548.92249501664446</v>
      </c>
      <c r="D16" s="49">
        <f t="shared" ref="D16:D28" si="1">1/(1+$D$13)^(B16-($B$15-1))</f>
        <v>0.84106016217299606</v>
      </c>
      <c r="E16" s="48">
        <f t="shared" ref="E16:E29" si="2">C16*D16</f>
        <v>461.6768426791046</v>
      </c>
    </row>
    <row r="17" spans="2:5" x14ac:dyDescent="0.3">
      <c r="B17" s="43">
        <f t="shared" ref="B17:B28" si="3">B16+1</f>
        <v>2028</v>
      </c>
      <c r="C17" s="48">
        <f t="shared" si="0"/>
        <v>570.88485230422293</v>
      </c>
      <c r="D17" s="49">
        <f t="shared" si="1"/>
        <v>0.77133065854912053</v>
      </c>
      <c r="E17" s="48">
        <f t="shared" si="2"/>
        <v>440.34098908353366</v>
      </c>
    </row>
    <row r="18" spans="2:5" x14ac:dyDescent="0.3">
      <c r="B18" s="43">
        <f t="shared" si="3"/>
        <v>2029</v>
      </c>
      <c r="C18" s="48">
        <f t="shared" si="0"/>
        <v>593.72592223704044</v>
      </c>
      <c r="D18" s="49">
        <f t="shared" si="1"/>
        <v>0.70738219639446631</v>
      </c>
      <c r="E18" s="48">
        <f t="shared" si="2"/>
        <v>419.99114692836775</v>
      </c>
    </row>
    <row r="19" spans="2:5" x14ac:dyDescent="0.3">
      <c r="B19" s="43">
        <f t="shared" si="3"/>
        <v>2030</v>
      </c>
      <c r="C19" s="48">
        <f t="shared" si="0"/>
        <v>617.48086205722677</v>
      </c>
      <c r="D19" s="49">
        <f t="shared" si="1"/>
        <v>0.64873548876832721</v>
      </c>
      <c r="E19" s="48">
        <f t="shared" si="2"/>
        <v>400.58174885178306</v>
      </c>
    </row>
    <row r="20" spans="2:5" x14ac:dyDescent="0.3">
      <c r="B20" s="43">
        <f t="shared" si="3"/>
        <v>2031</v>
      </c>
      <c r="C20" s="48">
        <f t="shared" si="0"/>
        <v>642.18623564613665</v>
      </c>
      <c r="D20" s="49">
        <f t="shared" si="1"/>
        <v>0.59495098481781994</v>
      </c>
      <c r="E20" s="48">
        <f t="shared" si="2"/>
        <v>382.06933333411757</v>
      </c>
    </row>
    <row r="21" spans="2:5" x14ac:dyDescent="0.3">
      <c r="B21" s="43">
        <f t="shared" si="3"/>
        <v>2032</v>
      </c>
      <c r="C21" s="48">
        <f t="shared" si="0"/>
        <v>667.88006980390401</v>
      </c>
      <c r="D21" s="49">
        <f t="shared" si="1"/>
        <v>0.54562557539086698</v>
      </c>
      <c r="E21" s="48">
        <f t="shared" si="2"/>
        <v>364.4124473788475</v>
      </c>
    </row>
    <row r="22" spans="2:5" x14ac:dyDescent="0.3">
      <c r="B22" s="43">
        <f t="shared" si="3"/>
        <v>2033</v>
      </c>
      <c r="C22" s="48">
        <f t="shared" si="0"/>
        <v>694.60191278073717</v>
      </c>
      <c r="D22" s="49">
        <f t="shared" si="1"/>
        <v>0.5003895717758593</v>
      </c>
      <c r="E22" s="48">
        <f t="shared" si="2"/>
        <v>347.57155369104584</v>
      </c>
    </row>
    <row r="23" spans="2:5" x14ac:dyDescent="0.3">
      <c r="B23" s="43">
        <f t="shared" si="3"/>
        <v>2034</v>
      </c>
      <c r="C23" s="48">
        <f t="shared" si="0"/>
        <v>722.3928951500485</v>
      </c>
      <c r="D23" s="49">
        <f t="shared" si="1"/>
        <v>0.45890393492397691</v>
      </c>
      <c r="E23" s="48">
        <f t="shared" si="2"/>
        <v>331.50894214548111</v>
      </c>
    </row>
    <row r="24" spans="2:5" x14ac:dyDescent="0.3">
      <c r="B24" s="43">
        <f t="shared" si="3"/>
        <v>2035</v>
      </c>
      <c r="C24" s="48">
        <f t="shared" si="0"/>
        <v>751.29579311711484</v>
      </c>
      <c r="D24" s="49">
        <f t="shared" si="1"/>
        <v>0.42085773438748025</v>
      </c>
      <c r="E24" s="48">
        <f t="shared" si="2"/>
        <v>316.18864534611401</v>
      </c>
    </row>
    <row r="25" spans="2:5" x14ac:dyDescent="0.3">
      <c r="B25" s="43">
        <f t="shared" si="3"/>
        <v>2036</v>
      </c>
      <c r="C25" s="48">
        <f t="shared" si="0"/>
        <v>781.35509436071277</v>
      </c>
      <c r="D25" s="49">
        <f t="shared" si="1"/>
        <v>0.38596581792898599</v>
      </c>
      <c r="E25" s="48">
        <f t="shared" si="2"/>
        <v>301.57635808791252</v>
      </c>
    </row>
    <row r="26" spans="2:5" x14ac:dyDescent="0.3">
      <c r="B26" s="43">
        <f t="shared" si="3"/>
        <v>2037</v>
      </c>
      <c r="C26" s="48">
        <f t="shared" si="0"/>
        <v>812.61706650907468</v>
      </c>
      <c r="D26" s="49">
        <f t="shared" si="1"/>
        <v>0.35396667433569384</v>
      </c>
      <c r="E26" s="48">
        <f t="shared" si="2"/>
        <v>287.63936054064447</v>
      </c>
    </row>
    <row r="27" spans="2:5" x14ac:dyDescent="0.3">
      <c r="B27" s="43">
        <f t="shared" si="3"/>
        <v>2038</v>
      </c>
      <c r="C27" s="48">
        <f t="shared" si="0"/>
        <v>845.12982835556284</v>
      </c>
      <c r="D27" s="49">
        <f t="shared" si="1"/>
        <v>0.32462047342058603</v>
      </c>
      <c r="E27" s="48">
        <f t="shared" si="2"/>
        <v>274.3464449826414</v>
      </c>
    </row>
    <row r="28" spans="2:5" x14ac:dyDescent="0.3">
      <c r="B28" s="43">
        <f t="shared" si="3"/>
        <v>2039</v>
      </c>
      <c r="C28" s="48">
        <f t="shared" si="0"/>
        <v>878.94342392368003</v>
      </c>
      <c r="D28" s="49">
        <f t="shared" si="1"/>
        <v>0.29770726852061474</v>
      </c>
      <c r="E28" s="48">
        <f t="shared" si="2"/>
        <v>261.66784592047554</v>
      </c>
    </row>
    <row r="29" spans="2:5" x14ac:dyDescent="0.3">
      <c r="B29" s="50" t="str">
        <f>B28&amp;"-"&amp;"∞"</f>
        <v>2039-∞</v>
      </c>
      <c r="C29" s="51">
        <f>C28*(1+D10)/D12</f>
        <v>21307.923065161223</v>
      </c>
      <c r="D29" s="52">
        <f>D28</f>
        <v>0.29770726852061474</v>
      </c>
      <c r="E29" s="51">
        <f t="shared" si="2"/>
        <v>6343.5235735765527</v>
      </c>
    </row>
  </sheetData>
  <mergeCells count="3">
    <mergeCell ref="B5:D5"/>
    <mergeCell ref="E5:E6"/>
    <mergeCell ref="E7:E13"/>
  </mergeCells>
  <conditionalFormatting sqref="E7">
    <cfRule type="containsText" dxfId="5" priority="3" operator="containsText" text="Fairly Valued">
      <formula>NOT(ISERROR(SEARCH("Fairly Valued",E7)))</formula>
    </cfRule>
    <cfRule type="containsText" dxfId="4" priority="4" operator="containsText" text="Fairly Valued ">
      <formula>NOT(ISERROR(SEARCH("Fairly Valued ",E7)))</formula>
    </cfRule>
    <cfRule type="containsText" dxfId="3" priority="5" operator="containsText" text="Overvalued">
      <formula>NOT(ISERROR(SEARCH("Overvalued",E7)))</formula>
    </cfRule>
    <cfRule type="containsText" dxfId="2" priority="6" operator="containsText" text="Undervalued">
      <formula>NOT(ISERROR(SEARCH("Undervalued",E7)))</formula>
    </cfRule>
  </conditionalFormatting>
  <conditionalFormatting sqref="E7 C13">
    <cfRule type="containsText" dxfId="1" priority="2" operator="containsText" text="Fairly Valued ">
      <formula>NOT(ISERROR(SEARCH("Fairly Valued ",C7)))</formula>
    </cfRule>
  </conditionalFormatting>
  <conditionalFormatting sqref="E7:E13">
    <cfRule type="containsText" dxfId="0" priority="1" operator="containsText" text="Fairly Valued $E$7">
      <formula>NOT(ISERROR(SEARCH("Fairly Valued $E$7",E7)))</formula>
    </cfRule>
  </conditionalFormatting>
  <dataValidations count="4">
    <dataValidation type="list" allowBlank="1" showInputMessage="1" showErrorMessage="1" sqref="C12">
      <formula1>$M$4:$M$9</formula1>
    </dataValidation>
    <dataValidation type="list" allowBlank="1" showInputMessage="1" showErrorMessage="1" sqref="C11">
      <formula1>$L$4:$L$9</formula1>
    </dataValidation>
    <dataValidation type="list" allowBlank="1" showInputMessage="1" showErrorMessage="1" sqref="C10">
      <formula1>$K$4:$K$8</formula1>
    </dataValidation>
    <dataValidation type="list" allowBlank="1" showInputMessage="1" showErrorMessage="1" sqref="C9">
      <formula1>$J$4:$J$8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showGridLines="0" workbookViewId="0">
      <selection activeCell="A26" sqref="A26"/>
    </sheetView>
  </sheetViews>
  <sheetFormatPr defaultRowHeight="14.4" x14ac:dyDescent="0.3"/>
  <cols>
    <col min="1" max="1" width="2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0"/>
  <sheetViews>
    <sheetView showGridLines="0" workbookViewId="0">
      <selection activeCell="F6" sqref="F6"/>
    </sheetView>
  </sheetViews>
  <sheetFormatPr defaultRowHeight="14.4" x14ac:dyDescent="0.3"/>
  <cols>
    <col min="1" max="1" width="2" customWidth="1"/>
    <col min="2" max="2" width="5.109375" bestFit="1" customWidth="1"/>
    <col min="3" max="3" width="17.44140625" bestFit="1" customWidth="1"/>
    <col min="4" max="4" width="13.21875" customWidth="1"/>
    <col min="5" max="5" width="13.109375" customWidth="1"/>
    <col min="6" max="6" width="11.109375" customWidth="1"/>
    <col min="8" max="8" width="24.44140625" bestFit="1" customWidth="1"/>
  </cols>
  <sheetData>
    <row r="2" spans="2:16" x14ac:dyDescent="0.3">
      <c r="B2" s="30" t="s">
        <v>6</v>
      </c>
      <c r="C2" s="30" t="s">
        <v>7</v>
      </c>
      <c r="D2" s="30" t="s">
        <v>39</v>
      </c>
      <c r="E2" s="30" t="s">
        <v>40</v>
      </c>
      <c r="F2" s="34" t="s">
        <v>41</v>
      </c>
      <c r="H2" s="33" t="s">
        <v>44</v>
      </c>
      <c r="I2" s="33" t="s">
        <v>10</v>
      </c>
      <c r="J2" s="20">
        <f>AVERAGE(F9:F28)</f>
        <v>4.6400000000000011E-2</v>
      </c>
      <c r="L2" s="88" t="s">
        <v>66</v>
      </c>
      <c r="M2" s="88"/>
      <c r="N2" s="88"/>
      <c r="O2" s="88"/>
      <c r="P2" s="88"/>
    </row>
    <row r="3" spans="2:16" x14ac:dyDescent="0.3">
      <c r="B3" s="35">
        <v>2001</v>
      </c>
      <c r="C3" s="16">
        <v>5472.2999999999993</v>
      </c>
      <c r="D3" s="36">
        <v>3.0099999999999998E-2</v>
      </c>
      <c r="E3" s="36">
        <v>5.0000000000000001E-3</v>
      </c>
      <c r="F3" s="31">
        <f>D3+E3</f>
        <v>3.5099999999999999E-2</v>
      </c>
    </row>
    <row r="4" spans="2:16" x14ac:dyDescent="0.3">
      <c r="B4" s="35">
        <v>2002</v>
      </c>
      <c r="C4" s="16">
        <v>4565.791666666667</v>
      </c>
      <c r="D4" s="36">
        <v>3.0599999999999999E-2</v>
      </c>
      <c r="E4" s="36">
        <v>4.0000000000000001E-3</v>
      </c>
      <c r="F4" s="31">
        <f t="shared" ref="F4:F28" si="0">D4+E4</f>
        <v>3.4599999999999999E-2</v>
      </c>
      <c r="H4" s="33" t="s">
        <v>44</v>
      </c>
      <c r="I4" s="33" t="s">
        <v>18</v>
      </c>
      <c r="J4" s="20">
        <f>AVERAGE(F14:F28)</f>
        <v>4.8266666666666673E-2</v>
      </c>
    </row>
    <row r="5" spans="2:16" x14ac:dyDescent="0.3">
      <c r="B5" s="35">
        <v>2003</v>
      </c>
      <c r="C5" s="16">
        <v>4029.835833333334</v>
      </c>
      <c r="D5" s="26">
        <v>3.4000000000000002E-2</v>
      </c>
      <c r="E5" s="26">
        <v>6.0000000000000001E-3</v>
      </c>
      <c r="F5" s="31">
        <f t="shared" si="0"/>
        <v>0.04</v>
      </c>
    </row>
    <row r="6" spans="2:16" x14ac:dyDescent="0.3">
      <c r="B6" s="35">
        <v>2004</v>
      </c>
      <c r="C6" s="16">
        <v>4519.8225000000002</v>
      </c>
      <c r="D6" s="26">
        <v>3.1E-2</v>
      </c>
      <c r="E6" s="26">
        <v>8.0000000000000002E-3</v>
      </c>
      <c r="F6" s="31">
        <f t="shared" si="0"/>
        <v>3.9E-2</v>
      </c>
      <c r="H6" s="33" t="s">
        <v>44</v>
      </c>
      <c r="I6" s="33" t="s">
        <v>12</v>
      </c>
      <c r="J6" s="20">
        <f>AVERAGE(F19:F28)</f>
        <v>5.1000000000000004E-2</v>
      </c>
    </row>
    <row r="7" spans="2:16" x14ac:dyDescent="0.3">
      <c r="B7" s="35">
        <v>2005</v>
      </c>
      <c r="C7" s="16">
        <v>5167.5108333333328</v>
      </c>
      <c r="D7" s="26">
        <v>0.03</v>
      </c>
      <c r="E7" s="26">
        <v>8.9999999999999993E-3</v>
      </c>
      <c r="F7" s="31">
        <f t="shared" si="0"/>
        <v>3.9E-2</v>
      </c>
    </row>
    <row r="8" spans="2:16" x14ac:dyDescent="0.3">
      <c r="B8" s="35">
        <v>2006</v>
      </c>
      <c r="C8" s="16">
        <v>5940.9075000000003</v>
      </c>
      <c r="D8" s="26">
        <v>2.9000000000000001E-2</v>
      </c>
      <c r="E8" s="26">
        <v>1.0999999999999999E-2</v>
      </c>
      <c r="F8" s="31">
        <f t="shared" si="0"/>
        <v>0.04</v>
      </c>
      <c r="H8" s="33" t="s">
        <v>44</v>
      </c>
      <c r="I8" s="33" t="s">
        <v>13</v>
      </c>
      <c r="J8" s="20">
        <f>AVERAGE(F24:F28)</f>
        <v>5.2799999999999993E-2</v>
      </c>
    </row>
    <row r="9" spans="2:16" x14ac:dyDescent="0.3">
      <c r="B9" s="35">
        <v>2007</v>
      </c>
      <c r="C9" s="16">
        <v>6425.1899999999987</v>
      </c>
      <c r="D9" s="26">
        <v>0.03</v>
      </c>
      <c r="E9" s="26">
        <v>1.2E-2</v>
      </c>
      <c r="F9" s="31">
        <f t="shared" si="0"/>
        <v>4.1999999999999996E-2</v>
      </c>
    </row>
    <row r="10" spans="2:16" x14ac:dyDescent="0.3">
      <c r="B10" s="35">
        <v>2008</v>
      </c>
      <c r="C10" s="16">
        <v>5356.9458333333341</v>
      </c>
      <c r="D10" s="26">
        <v>4.3999999999999997E-2</v>
      </c>
      <c r="E10" s="26">
        <v>3.0000000000000001E-3</v>
      </c>
      <c r="F10" s="31">
        <f t="shared" si="0"/>
        <v>4.7E-2</v>
      </c>
      <c r="H10" s="33" t="s">
        <v>44</v>
      </c>
      <c r="I10" s="33" t="s">
        <v>45</v>
      </c>
      <c r="J10" s="20">
        <f>AVERAGE(F26:F28)</f>
        <v>5.0333333333333334E-2</v>
      </c>
    </row>
    <row r="11" spans="2:16" x14ac:dyDescent="0.3">
      <c r="B11" s="35">
        <v>2009</v>
      </c>
      <c r="C11" s="16">
        <v>4593</v>
      </c>
      <c r="D11" s="26">
        <v>3.6999999999999998E-2</v>
      </c>
      <c r="E11" s="26">
        <v>2E-3</v>
      </c>
      <c r="F11" s="31">
        <f t="shared" si="0"/>
        <v>3.9E-2</v>
      </c>
    </row>
    <row r="12" spans="2:16" x14ac:dyDescent="0.3">
      <c r="B12" s="35">
        <v>2010</v>
      </c>
      <c r="C12" s="16">
        <v>5418.041666666667</v>
      </c>
      <c r="D12" s="26">
        <v>3.1E-2</v>
      </c>
      <c r="E12" s="26">
        <v>5.0000000000000001E-3</v>
      </c>
      <c r="F12" s="31">
        <f t="shared" si="0"/>
        <v>3.5999999999999997E-2</v>
      </c>
    </row>
    <row r="13" spans="2:16" x14ac:dyDescent="0.3">
      <c r="B13" s="35">
        <v>2011</v>
      </c>
      <c r="C13" s="16">
        <v>5727.6191666666673</v>
      </c>
      <c r="D13" s="26">
        <v>3.5999999999999997E-2</v>
      </c>
      <c r="E13" s="26">
        <v>4.0000000000000001E-3</v>
      </c>
      <c r="F13" s="31">
        <f t="shared" si="0"/>
        <v>3.9999999999999994E-2</v>
      </c>
    </row>
    <row r="14" spans="2:16" ht="15.6" x14ac:dyDescent="0.3">
      <c r="B14" s="35">
        <v>2012</v>
      </c>
      <c r="C14" s="16">
        <v>5715.626666666667</v>
      </c>
      <c r="D14" s="26">
        <v>3.5000000000000003E-2</v>
      </c>
      <c r="E14" s="26">
        <v>5.0000000000000001E-3</v>
      </c>
      <c r="F14" s="31">
        <f t="shared" si="0"/>
        <v>0.04</v>
      </c>
      <c r="H14" s="87" t="s">
        <v>46</v>
      </c>
      <c r="I14" s="87"/>
      <c r="J14" s="87"/>
      <c r="K14" s="87"/>
      <c r="L14" s="87"/>
    </row>
    <row r="15" spans="2:16" x14ac:dyDescent="0.3">
      <c r="B15" s="35">
        <v>2013</v>
      </c>
      <c r="C15" s="16">
        <v>6492.1175000000003</v>
      </c>
      <c r="D15" s="26">
        <v>3.3000000000000002E-2</v>
      </c>
      <c r="E15" s="26">
        <v>7.0000000000000001E-3</v>
      </c>
      <c r="F15" s="31">
        <f t="shared" si="0"/>
        <v>0.04</v>
      </c>
    </row>
    <row r="16" spans="2:16" x14ac:dyDescent="0.3">
      <c r="B16" s="35">
        <v>2014</v>
      </c>
      <c r="C16" s="16">
        <v>6691.229166666667</v>
      </c>
      <c r="D16" s="26">
        <v>3.2000000000000001E-2</v>
      </c>
      <c r="E16" s="26">
        <v>8.9999999999999993E-3</v>
      </c>
      <c r="F16" s="31">
        <f t="shared" si="0"/>
        <v>4.1000000000000002E-2</v>
      </c>
    </row>
    <row r="17" spans="2:6" x14ac:dyDescent="0.3">
      <c r="B17" s="35">
        <v>2015</v>
      </c>
      <c r="C17" s="16">
        <v>6575.0391666666656</v>
      </c>
      <c r="D17" s="26">
        <v>3.7999999999999999E-2</v>
      </c>
      <c r="E17" s="26">
        <v>8.0000000000000002E-3</v>
      </c>
      <c r="F17" s="31">
        <f t="shared" si="0"/>
        <v>4.5999999999999999E-2</v>
      </c>
    </row>
    <row r="18" spans="2:6" x14ac:dyDescent="0.3">
      <c r="B18" s="35">
        <v>2016</v>
      </c>
      <c r="C18" s="16">
        <v>6551.5749999999998</v>
      </c>
      <c r="D18" s="26">
        <v>0.04</v>
      </c>
      <c r="E18" s="26">
        <v>7.0000000000000001E-3</v>
      </c>
      <c r="F18" s="31">
        <f t="shared" si="0"/>
        <v>4.7E-2</v>
      </c>
    </row>
    <row r="19" spans="2:6" x14ac:dyDescent="0.3">
      <c r="B19" s="35">
        <v>2017</v>
      </c>
      <c r="C19" s="16">
        <v>7367.0849999999991</v>
      </c>
      <c r="D19" s="26">
        <v>3.6999999999999998E-2</v>
      </c>
      <c r="E19" s="26">
        <v>0.01</v>
      </c>
      <c r="F19" s="31">
        <f t="shared" si="0"/>
        <v>4.7E-2</v>
      </c>
    </row>
    <row r="20" spans="2:6" x14ac:dyDescent="0.3">
      <c r="B20" s="35">
        <v>2018</v>
      </c>
      <c r="C20" s="16">
        <v>7347.8625000000002</v>
      </c>
      <c r="D20" s="26">
        <v>4.1000000000000002E-2</v>
      </c>
      <c r="E20" s="26">
        <v>1.2E-2</v>
      </c>
      <c r="F20" s="31">
        <f t="shared" si="0"/>
        <v>5.3000000000000005E-2</v>
      </c>
    </row>
    <row r="21" spans="2:6" x14ac:dyDescent="0.3">
      <c r="B21" s="35">
        <v>2019</v>
      </c>
      <c r="C21" s="16">
        <v>7305.6541666666662</v>
      </c>
      <c r="D21" s="26">
        <v>4.2999999999999997E-2</v>
      </c>
      <c r="E21" s="26">
        <v>1.0999999999999999E-2</v>
      </c>
      <c r="F21" s="31">
        <f t="shared" si="0"/>
        <v>5.3999999999999992E-2</v>
      </c>
    </row>
    <row r="22" spans="2:6" x14ac:dyDescent="0.3">
      <c r="B22" s="35">
        <v>2020</v>
      </c>
      <c r="C22" s="16">
        <v>6143.1283333333331</v>
      </c>
      <c r="D22" s="26">
        <v>3.5999999999999997E-2</v>
      </c>
      <c r="E22" s="26">
        <v>3.0000000000000001E-3</v>
      </c>
      <c r="F22" s="31">
        <f t="shared" si="0"/>
        <v>3.9E-2</v>
      </c>
    </row>
    <row r="23" spans="2:6" x14ac:dyDescent="0.3">
      <c r="B23" s="35">
        <v>2021</v>
      </c>
      <c r="C23" s="16">
        <v>6962.8658333333333</v>
      </c>
      <c r="D23" s="26">
        <v>3.7999999999999999E-2</v>
      </c>
      <c r="E23" s="26">
        <v>1.4999999999999999E-2</v>
      </c>
      <c r="F23" s="31">
        <f t="shared" si="0"/>
        <v>5.2999999999999999E-2</v>
      </c>
    </row>
    <row r="24" spans="2:6" x14ac:dyDescent="0.3">
      <c r="B24" s="35">
        <v>2022</v>
      </c>
      <c r="C24" s="16">
        <v>7373.375</v>
      </c>
      <c r="D24" s="26">
        <v>3.5000000000000003E-2</v>
      </c>
      <c r="E24" s="26">
        <v>0.02</v>
      </c>
      <c r="F24" s="31">
        <f t="shared" si="0"/>
        <v>5.5000000000000007E-2</v>
      </c>
    </row>
    <row r="25" spans="2:6" x14ac:dyDescent="0.3">
      <c r="B25" s="35">
        <v>2023</v>
      </c>
      <c r="C25" s="16">
        <v>7615.274166666667</v>
      </c>
      <c r="D25" s="26">
        <v>3.6999999999999998E-2</v>
      </c>
      <c r="E25" s="26">
        <v>2.1000000000000001E-2</v>
      </c>
      <c r="F25" s="31">
        <f t="shared" si="0"/>
        <v>5.7999999999999996E-2</v>
      </c>
    </row>
    <row r="26" spans="2:6" x14ac:dyDescent="0.3">
      <c r="B26" s="35">
        <v>2024</v>
      </c>
      <c r="C26" s="16">
        <v>8112.4016666666676</v>
      </c>
      <c r="D26" s="26">
        <v>3.5999999999999997E-2</v>
      </c>
      <c r="E26" s="26">
        <v>1.7999999999999999E-2</v>
      </c>
      <c r="F26" s="31">
        <f t="shared" si="0"/>
        <v>5.3999999999999992E-2</v>
      </c>
    </row>
    <row r="27" spans="2:6" x14ac:dyDescent="0.3">
      <c r="B27" s="35">
        <v>2025</v>
      </c>
      <c r="C27" s="16">
        <v>9094.5350000000017</v>
      </c>
      <c r="D27" s="26">
        <v>3.5000000000000003E-2</v>
      </c>
      <c r="E27" s="26">
        <v>1.6E-2</v>
      </c>
      <c r="F27" s="31">
        <f t="shared" si="0"/>
        <v>5.1000000000000004E-2</v>
      </c>
    </row>
    <row r="28" spans="2:6" x14ac:dyDescent="0.3">
      <c r="B28" s="37">
        <v>2026</v>
      </c>
      <c r="C28" s="19">
        <v>10503.187142857143</v>
      </c>
      <c r="D28" s="27">
        <v>3.1E-2</v>
      </c>
      <c r="E28" s="27">
        <v>1.4999999999999999E-2</v>
      </c>
      <c r="F28" s="32">
        <f t="shared" si="0"/>
        <v>4.5999999999999999E-2</v>
      </c>
    </row>
    <row r="30" spans="2:6" x14ac:dyDescent="0.3">
      <c r="B30" s="2" t="s">
        <v>43</v>
      </c>
    </row>
  </sheetData>
  <mergeCells count="2">
    <mergeCell ref="H14:L14"/>
    <mergeCell ref="L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30"/>
  <sheetViews>
    <sheetView showGridLines="0" workbookViewId="0">
      <selection activeCell="O31" sqref="O31"/>
    </sheetView>
  </sheetViews>
  <sheetFormatPr defaultRowHeight="14.4" x14ac:dyDescent="0.3"/>
  <cols>
    <col min="1" max="1" width="2" customWidth="1"/>
    <col min="2" max="2" width="6.21875" customWidth="1"/>
    <col min="3" max="3" width="17.44140625" bestFit="1" customWidth="1"/>
    <col min="5" max="5" width="11.88671875" bestFit="1" customWidth="1"/>
    <col min="6" max="6" width="17.109375" customWidth="1"/>
    <col min="7" max="7" width="16.33203125" customWidth="1"/>
    <col min="8" max="8" width="17.109375" customWidth="1"/>
    <col min="9" max="9" width="17.33203125" customWidth="1"/>
    <col min="10" max="10" width="16.77734375" customWidth="1"/>
    <col min="12" max="12" width="21.88671875" bestFit="1" customWidth="1"/>
  </cols>
  <sheetData>
    <row r="2" spans="2:16" ht="13.8" customHeight="1" x14ac:dyDescent="0.3">
      <c r="B2" s="30" t="s">
        <v>6</v>
      </c>
      <c r="C2" s="22" t="s">
        <v>7</v>
      </c>
      <c r="D2" s="22" t="s">
        <v>22</v>
      </c>
      <c r="E2" s="22" t="s">
        <v>29</v>
      </c>
      <c r="F2" s="22" t="s">
        <v>21</v>
      </c>
      <c r="G2" s="22" t="s">
        <v>23</v>
      </c>
      <c r="H2" s="22" t="s">
        <v>24</v>
      </c>
      <c r="I2" s="22" t="s">
        <v>25</v>
      </c>
      <c r="J2" s="23" t="s">
        <v>26</v>
      </c>
      <c r="L2" s="11" t="s">
        <v>30</v>
      </c>
      <c r="M2" s="11" t="s">
        <v>10</v>
      </c>
      <c r="N2" s="20">
        <f>AVERAGE(J23:J28)</f>
        <v>4.0009942181204572E-2</v>
      </c>
    </row>
    <row r="3" spans="2:16" x14ac:dyDescent="0.3">
      <c r="B3" s="15">
        <v>2001</v>
      </c>
      <c r="C3" s="16">
        <v>5472.2999999999993</v>
      </c>
      <c r="D3" s="16">
        <v>18.71</v>
      </c>
      <c r="E3" s="16">
        <f>C3/D3</f>
        <v>292.47995724211648</v>
      </c>
      <c r="F3" s="24" t="s">
        <v>28</v>
      </c>
      <c r="G3" s="24" t="s">
        <v>28</v>
      </c>
      <c r="H3" s="24" t="s">
        <v>28</v>
      </c>
      <c r="I3" s="24" t="s">
        <v>28</v>
      </c>
      <c r="J3" s="25" t="s">
        <v>28</v>
      </c>
    </row>
    <row r="4" spans="2:16" x14ac:dyDescent="0.3">
      <c r="B4" s="15">
        <v>2002</v>
      </c>
      <c r="C4" s="16">
        <v>4565.791666666667</v>
      </c>
      <c r="D4" s="16">
        <v>23.7</v>
      </c>
      <c r="E4" s="16">
        <f t="shared" ref="E4:E28" si="0">C4/D4</f>
        <v>192.64943741209566</v>
      </c>
      <c r="F4" s="24" t="s">
        <v>28</v>
      </c>
      <c r="G4" s="24" t="s">
        <v>28</v>
      </c>
      <c r="H4" s="24" t="s">
        <v>28</v>
      </c>
      <c r="I4" s="24" t="s">
        <v>28</v>
      </c>
      <c r="J4" s="25" t="s">
        <v>28</v>
      </c>
      <c r="L4" s="11" t="s">
        <v>30</v>
      </c>
      <c r="M4" s="11" t="s">
        <v>18</v>
      </c>
      <c r="N4" s="20">
        <f>AVERAGE(I18:I28)</f>
        <v>2.9680113773084136E-2</v>
      </c>
    </row>
    <row r="5" spans="2:16" x14ac:dyDescent="0.3">
      <c r="B5" s="15">
        <v>2003</v>
      </c>
      <c r="C5" s="16">
        <v>4029.835833333334</v>
      </c>
      <c r="D5" s="16">
        <v>17.7</v>
      </c>
      <c r="E5" s="16">
        <f t="shared" si="0"/>
        <v>227.67434086629007</v>
      </c>
      <c r="F5" s="24" t="s">
        <v>28</v>
      </c>
      <c r="G5" s="24" t="s">
        <v>28</v>
      </c>
      <c r="H5" s="24" t="s">
        <v>28</v>
      </c>
      <c r="I5" s="24" t="s">
        <v>28</v>
      </c>
      <c r="J5" s="25" t="s">
        <v>28</v>
      </c>
    </row>
    <row r="6" spans="2:16" x14ac:dyDescent="0.3">
      <c r="B6" s="15">
        <v>2004</v>
      </c>
      <c r="C6" s="16">
        <v>4519.8225000000002</v>
      </c>
      <c r="D6" s="16">
        <v>18.89</v>
      </c>
      <c r="E6" s="16">
        <f t="shared" si="0"/>
        <v>239.27064584436209</v>
      </c>
      <c r="F6" s="26">
        <f>_xlfn.RRI(3,E3,E6)</f>
        <v>-6.4742706325630173E-2</v>
      </c>
      <c r="G6" s="24" t="s">
        <v>28</v>
      </c>
      <c r="H6" s="24" t="s">
        <v>28</v>
      </c>
      <c r="I6" s="24" t="s">
        <v>28</v>
      </c>
      <c r="J6" s="25" t="s">
        <v>28</v>
      </c>
      <c r="L6" s="11" t="s">
        <v>30</v>
      </c>
      <c r="M6" s="11" t="s">
        <v>12</v>
      </c>
      <c r="N6" s="21">
        <f>AVEDEV(H13:H28)</f>
        <v>3.2655410651654164E-2</v>
      </c>
    </row>
    <row r="7" spans="2:16" x14ac:dyDescent="0.3">
      <c r="B7" s="15">
        <v>2005</v>
      </c>
      <c r="C7" s="16">
        <v>5167.5108333333328</v>
      </c>
      <c r="D7" s="16">
        <v>16.62</v>
      </c>
      <c r="E7" s="16">
        <f t="shared" si="0"/>
        <v>310.9212294424388</v>
      </c>
      <c r="F7" s="26">
        <f>_xlfn.RRI(3,E4,E7)</f>
        <v>0.17298973189212807</v>
      </c>
      <c r="G7" s="24" t="s">
        <v>28</v>
      </c>
      <c r="H7" s="24" t="s">
        <v>28</v>
      </c>
      <c r="I7" s="24" t="s">
        <v>28</v>
      </c>
      <c r="J7" s="25" t="s">
        <v>28</v>
      </c>
    </row>
    <row r="8" spans="2:16" x14ac:dyDescent="0.3">
      <c r="B8" s="15">
        <v>2006</v>
      </c>
      <c r="C8" s="16">
        <v>5940.9075000000003</v>
      </c>
      <c r="D8" s="16">
        <v>12.65</v>
      </c>
      <c r="E8" s="16">
        <f t="shared" si="0"/>
        <v>469.63695652173914</v>
      </c>
      <c r="F8" s="26">
        <f t="shared" ref="F8:F28" si="1">_xlfn.RRI(3,E5,E8)</f>
        <v>0.27296381599004316</v>
      </c>
      <c r="G8" s="26">
        <f>_xlfn.RRI(5,E3,E8)</f>
        <v>9.9343039141758904E-2</v>
      </c>
      <c r="H8" s="24" t="s">
        <v>28</v>
      </c>
      <c r="I8" s="24" t="s">
        <v>28</v>
      </c>
      <c r="J8" s="25" t="s">
        <v>28</v>
      </c>
      <c r="L8" s="11" t="s">
        <v>30</v>
      </c>
      <c r="M8" s="11" t="s">
        <v>13</v>
      </c>
      <c r="N8" s="20">
        <f>AVERAGE(G8:G28)</f>
        <v>4.7143740844575135E-2</v>
      </c>
    </row>
    <row r="9" spans="2:16" x14ac:dyDescent="0.3">
      <c r="B9" s="15">
        <v>2007</v>
      </c>
      <c r="C9" s="16">
        <v>6425.1899999999987</v>
      </c>
      <c r="D9" s="16">
        <v>12.54</v>
      </c>
      <c r="E9" s="16">
        <f t="shared" si="0"/>
        <v>512.37559808612434</v>
      </c>
      <c r="F9" s="26">
        <f t="shared" si="1"/>
        <v>0.28894090225348856</v>
      </c>
      <c r="G9" s="26">
        <f t="shared" ref="G9:G28" si="2">_xlfn.RRI(5,E4,E9)</f>
        <v>0.2160855796380714</v>
      </c>
      <c r="H9" s="24" t="s">
        <v>28</v>
      </c>
      <c r="I9" s="24" t="s">
        <v>28</v>
      </c>
      <c r="J9" s="25" t="s">
        <v>28</v>
      </c>
    </row>
    <row r="10" spans="2:16" x14ac:dyDescent="0.3">
      <c r="B10" s="15">
        <v>2008</v>
      </c>
      <c r="C10" s="16">
        <v>5356.9458333333341</v>
      </c>
      <c r="D10" s="16">
        <v>11.52</v>
      </c>
      <c r="E10" s="16">
        <f t="shared" si="0"/>
        <v>465.01265914351859</v>
      </c>
      <c r="F10" s="26">
        <f t="shared" si="1"/>
        <v>0.14359294256914779</v>
      </c>
      <c r="G10" s="26">
        <f t="shared" si="2"/>
        <v>0.15353330378770202</v>
      </c>
      <c r="H10" s="24" t="s">
        <v>28</v>
      </c>
      <c r="I10" s="24" t="s">
        <v>28</v>
      </c>
      <c r="J10" s="25" t="s">
        <v>28</v>
      </c>
      <c r="L10" s="11" t="s">
        <v>30</v>
      </c>
      <c r="M10" s="11" t="s">
        <v>14</v>
      </c>
      <c r="N10" s="20">
        <f>AVERAGE(F6:F28)</f>
        <v>4.7484579642204566E-2</v>
      </c>
    </row>
    <row r="11" spans="2:16" x14ac:dyDescent="0.3">
      <c r="B11" s="15">
        <v>2009</v>
      </c>
      <c r="C11" s="16">
        <v>4593</v>
      </c>
      <c r="D11" s="16">
        <v>8.6300000000000008</v>
      </c>
      <c r="E11" s="16">
        <f t="shared" si="0"/>
        <v>532.21320973348782</v>
      </c>
      <c r="F11" s="26">
        <f t="shared" si="1"/>
        <v>4.2576171956250741E-2</v>
      </c>
      <c r="G11" s="26">
        <f t="shared" si="2"/>
        <v>0.17338152403596041</v>
      </c>
      <c r="H11" s="24" t="s">
        <v>28</v>
      </c>
      <c r="I11" s="24" t="s">
        <v>28</v>
      </c>
      <c r="J11" s="25" t="s">
        <v>28</v>
      </c>
    </row>
    <row r="12" spans="2:16" x14ac:dyDescent="0.3">
      <c r="B12" s="15">
        <v>2010</v>
      </c>
      <c r="C12" s="16">
        <v>5418.041666666667</v>
      </c>
      <c r="D12" s="16">
        <v>11.57</v>
      </c>
      <c r="E12" s="16">
        <f t="shared" si="0"/>
        <v>468.28363583981564</v>
      </c>
      <c r="F12" s="26">
        <f t="shared" si="1"/>
        <v>-2.9549217711880127E-2</v>
      </c>
      <c r="G12" s="26">
        <f t="shared" si="2"/>
        <v>8.5354774500729036E-2</v>
      </c>
      <c r="H12" s="24" t="s">
        <v>28</v>
      </c>
      <c r="I12" s="24" t="s">
        <v>28</v>
      </c>
      <c r="J12" s="25" t="s">
        <v>28</v>
      </c>
    </row>
    <row r="13" spans="2:16" x14ac:dyDescent="0.3">
      <c r="B13" s="15">
        <v>2011</v>
      </c>
      <c r="C13" s="16">
        <v>5727.6191666666673</v>
      </c>
      <c r="D13" s="16">
        <v>10.33</v>
      </c>
      <c r="E13" s="16">
        <f t="shared" si="0"/>
        <v>554.464585350113</v>
      </c>
      <c r="F13" s="26">
        <f t="shared" si="1"/>
        <v>6.0399901578195081E-2</v>
      </c>
      <c r="G13" s="26">
        <f t="shared" si="2"/>
        <v>3.3766154943103865E-2</v>
      </c>
      <c r="H13" s="26">
        <f>_xlfn.RRI(10,E3,E13)</f>
        <v>6.6050480294925995E-2</v>
      </c>
      <c r="I13" s="24" t="s">
        <v>28</v>
      </c>
      <c r="J13" s="25" t="s">
        <v>28</v>
      </c>
    </row>
    <row r="14" spans="2:16" ht="15.6" x14ac:dyDescent="0.3">
      <c r="B14" s="15">
        <v>2012</v>
      </c>
      <c r="C14" s="16">
        <v>5715.626666666667</v>
      </c>
      <c r="D14" s="16">
        <v>9.7799999999999994</v>
      </c>
      <c r="E14" s="16">
        <f t="shared" si="0"/>
        <v>584.41990456714393</v>
      </c>
      <c r="F14" s="26">
        <f t="shared" si="1"/>
        <v>3.168341676897124E-2</v>
      </c>
      <c r="G14" s="26">
        <f t="shared" si="2"/>
        <v>2.6661584974528862E-2</v>
      </c>
      <c r="H14" s="26">
        <f t="shared" ref="H14:H28" si="3">_xlfn.RRI(10,E4,E14)</f>
        <v>0.11736670285805939</v>
      </c>
      <c r="I14" s="24" t="s">
        <v>28</v>
      </c>
      <c r="J14" s="25" t="s">
        <v>28</v>
      </c>
      <c r="L14" s="89" t="s">
        <v>31</v>
      </c>
      <c r="M14" s="89"/>
      <c r="N14" s="89"/>
      <c r="O14" s="89"/>
      <c r="P14" s="89"/>
    </row>
    <row r="15" spans="2:16" x14ac:dyDescent="0.3">
      <c r="B15" s="15">
        <v>2013</v>
      </c>
      <c r="C15" s="16">
        <v>6492.1175000000003</v>
      </c>
      <c r="D15" s="16">
        <v>11.02</v>
      </c>
      <c r="E15" s="16">
        <f t="shared" si="0"/>
        <v>589.12137023593471</v>
      </c>
      <c r="F15" s="26">
        <f t="shared" si="1"/>
        <v>7.9523079669647334E-2</v>
      </c>
      <c r="G15" s="26">
        <f t="shared" si="2"/>
        <v>4.8450666711769674E-2</v>
      </c>
      <c r="H15" s="26">
        <f t="shared" si="3"/>
        <v>9.9737587531883332E-2</v>
      </c>
      <c r="I15" s="24" t="s">
        <v>28</v>
      </c>
      <c r="J15" s="25" t="s">
        <v>28</v>
      </c>
    </row>
    <row r="16" spans="2:16" x14ac:dyDescent="0.3">
      <c r="B16" s="15">
        <v>2014</v>
      </c>
      <c r="C16" s="16">
        <v>6691.229166666667</v>
      </c>
      <c r="D16" s="16">
        <v>13.04</v>
      </c>
      <c r="E16" s="16">
        <f t="shared" si="0"/>
        <v>513.13107106339476</v>
      </c>
      <c r="F16" s="26">
        <f t="shared" si="1"/>
        <v>-2.5493290623476716E-2</v>
      </c>
      <c r="G16" s="26">
        <f t="shared" si="2"/>
        <v>-7.2759745055382963E-3</v>
      </c>
      <c r="H16" s="26">
        <f t="shared" si="3"/>
        <v>7.9279403112004765E-2</v>
      </c>
      <c r="I16" s="24" t="s">
        <v>28</v>
      </c>
      <c r="J16" s="25" t="s">
        <v>28</v>
      </c>
    </row>
    <row r="17" spans="2:10" x14ac:dyDescent="0.3">
      <c r="B17" s="15">
        <v>2015</v>
      </c>
      <c r="C17" s="16">
        <v>6575.0391666666656</v>
      </c>
      <c r="D17" s="16">
        <v>13.52</v>
      </c>
      <c r="E17" s="16">
        <f t="shared" si="0"/>
        <v>486.31946499013799</v>
      </c>
      <c r="F17" s="26">
        <f t="shared" si="1"/>
        <v>-5.9413189438523029E-2</v>
      </c>
      <c r="G17" s="26">
        <f t="shared" si="2"/>
        <v>7.5869504583543357E-3</v>
      </c>
      <c r="H17" s="26">
        <f t="shared" si="3"/>
        <v>4.5748204590667418E-2</v>
      </c>
      <c r="I17" s="24" t="s">
        <v>28</v>
      </c>
      <c r="J17" s="25" t="s">
        <v>28</v>
      </c>
    </row>
    <row r="18" spans="2:10" x14ac:dyDescent="0.3">
      <c r="B18" s="15">
        <v>2016</v>
      </c>
      <c r="C18" s="16">
        <v>6551.5749999999998</v>
      </c>
      <c r="D18" s="16">
        <v>14.2</v>
      </c>
      <c r="E18" s="16">
        <f t="shared" si="0"/>
        <v>461.37852112676057</v>
      </c>
      <c r="F18" s="26">
        <f t="shared" si="1"/>
        <v>-7.8240691878570301E-2</v>
      </c>
      <c r="G18" s="26">
        <f t="shared" si="2"/>
        <v>-3.6089497855026242E-2</v>
      </c>
      <c r="H18" s="26">
        <f t="shared" si="3"/>
        <v>-1.7725442006286674E-3</v>
      </c>
      <c r="I18" s="26">
        <f>_xlfn.RRI(15,E3,E18)</f>
        <v>3.0854610077367894E-2</v>
      </c>
      <c r="J18" s="25" t="s">
        <v>28</v>
      </c>
    </row>
    <row r="19" spans="2:10" x14ac:dyDescent="0.3">
      <c r="B19" s="15">
        <v>2017</v>
      </c>
      <c r="C19" s="16">
        <v>7367.0849999999991</v>
      </c>
      <c r="D19" s="16">
        <v>14.34</v>
      </c>
      <c r="E19" s="16">
        <f t="shared" si="0"/>
        <v>513.74372384937237</v>
      </c>
      <c r="F19" s="26">
        <f t="shared" si="1"/>
        <v>3.9782501102192391E-4</v>
      </c>
      <c r="G19" s="26">
        <f t="shared" si="2"/>
        <v>-2.5449595524459911E-2</v>
      </c>
      <c r="H19" s="26">
        <f t="shared" si="3"/>
        <v>2.6669588486560869E-4</v>
      </c>
      <c r="I19" s="26">
        <f t="shared" ref="I19:I28" si="4">_xlfn.RRI(15,E4,E19)</f>
        <v>6.7575468282366158E-2</v>
      </c>
      <c r="J19" s="25" t="s">
        <v>28</v>
      </c>
    </row>
    <row r="20" spans="2:10" x14ac:dyDescent="0.3">
      <c r="B20" s="15">
        <v>2018</v>
      </c>
      <c r="C20" s="16">
        <v>7347.8625000000002</v>
      </c>
      <c r="D20" s="16">
        <v>13.68</v>
      </c>
      <c r="E20" s="16">
        <f t="shared" si="0"/>
        <v>537.12445175438597</v>
      </c>
      <c r="F20" s="26">
        <f t="shared" si="1"/>
        <v>3.3675977881182595E-2</v>
      </c>
      <c r="G20" s="26">
        <f t="shared" si="2"/>
        <v>-1.8310763522826123E-2</v>
      </c>
      <c r="H20" s="26">
        <f t="shared" si="3"/>
        <v>1.4520938417862839E-2</v>
      </c>
      <c r="I20" s="26">
        <f t="shared" si="4"/>
        <v>5.8889696331271724E-2</v>
      </c>
      <c r="J20" s="25" t="s">
        <v>28</v>
      </c>
    </row>
    <row r="21" spans="2:10" x14ac:dyDescent="0.3">
      <c r="B21" s="15">
        <v>2019</v>
      </c>
      <c r="C21" s="16">
        <v>7305.6541666666662</v>
      </c>
      <c r="D21" s="16">
        <v>12.02</v>
      </c>
      <c r="E21" s="16">
        <f t="shared" si="0"/>
        <v>607.79152800887414</v>
      </c>
      <c r="F21" s="26">
        <f t="shared" si="1"/>
        <v>9.6223454393703944E-2</v>
      </c>
      <c r="G21" s="26">
        <f t="shared" si="2"/>
        <v>3.4439905344325394E-2</v>
      </c>
      <c r="H21" s="26">
        <f t="shared" si="3"/>
        <v>1.3367330717508841E-2</v>
      </c>
      <c r="I21" s="26">
        <f t="shared" si="4"/>
        <v>6.4121001922673226E-2</v>
      </c>
      <c r="J21" s="25" t="s">
        <v>28</v>
      </c>
    </row>
    <row r="22" spans="2:10" x14ac:dyDescent="0.3">
      <c r="B22" s="15">
        <v>2020</v>
      </c>
      <c r="C22" s="16">
        <v>6143.1283333333331</v>
      </c>
      <c r="D22" s="16">
        <v>13.04</v>
      </c>
      <c r="E22" s="16">
        <f t="shared" si="0"/>
        <v>471.09879856850716</v>
      </c>
      <c r="F22" s="26">
        <f t="shared" si="1"/>
        <v>-2.8472371266328622E-2</v>
      </c>
      <c r="G22" s="26">
        <f t="shared" si="2"/>
        <v>-6.3394022384543058E-3</v>
      </c>
      <c r="H22" s="26">
        <f t="shared" si="3"/>
        <v>5.9954601687750575E-4</v>
      </c>
      <c r="I22" s="26">
        <f t="shared" si="4"/>
        <v>2.8089147322215791E-2</v>
      </c>
      <c r="J22" s="25" t="s">
        <v>28</v>
      </c>
    </row>
    <row r="23" spans="2:10" x14ac:dyDescent="0.3">
      <c r="B23" s="15">
        <v>2021</v>
      </c>
      <c r="C23" s="16">
        <v>6962.8658333333333</v>
      </c>
      <c r="D23" s="16">
        <v>14.29</v>
      </c>
      <c r="E23" s="16">
        <f t="shared" si="0"/>
        <v>487.25443200373223</v>
      </c>
      <c r="F23" s="26">
        <f t="shared" si="1"/>
        <v>-3.195928247374491E-2</v>
      </c>
      <c r="G23" s="26">
        <f t="shared" si="2"/>
        <v>1.0973298018169597E-2</v>
      </c>
      <c r="H23" s="26">
        <f t="shared" si="3"/>
        <v>-1.2838524177602451E-2</v>
      </c>
      <c r="I23" s="26">
        <f t="shared" si="4"/>
        <v>2.4581142883943752E-3</v>
      </c>
      <c r="J23" s="7">
        <f>_xlfn.RRI(20,E3,E23)</f>
        <v>2.5847925098605895E-2</v>
      </c>
    </row>
    <row r="24" spans="2:10" x14ac:dyDescent="0.3">
      <c r="B24" s="15">
        <v>2022</v>
      </c>
      <c r="C24" s="16">
        <v>7373.375</v>
      </c>
      <c r="D24" s="16">
        <v>12.13</v>
      </c>
      <c r="E24" s="16">
        <f t="shared" si="0"/>
        <v>607.86273701566358</v>
      </c>
      <c r="F24" s="26">
        <f t="shared" si="1"/>
        <v>3.9051891278507611E-5</v>
      </c>
      <c r="G24" s="26">
        <f t="shared" si="2"/>
        <v>3.4217300388465377E-2</v>
      </c>
      <c r="H24" s="26">
        <f t="shared" si="3"/>
        <v>3.9406797262375726E-3</v>
      </c>
      <c r="I24" s="26">
        <f t="shared" si="4"/>
        <v>1.145788771478351E-2</v>
      </c>
      <c r="J24" s="7">
        <f t="shared" ref="J24:J28" si="5">_xlfn.RRI(20,E4,E24)</f>
        <v>5.9136387426466097E-2</v>
      </c>
    </row>
    <row r="25" spans="2:10" x14ac:dyDescent="0.3">
      <c r="B25" s="15">
        <v>2023</v>
      </c>
      <c r="C25" s="16">
        <v>7615.274166666667</v>
      </c>
      <c r="D25" s="16">
        <v>10.27</v>
      </c>
      <c r="E25" s="16">
        <f t="shared" si="0"/>
        <v>741.50673482635511</v>
      </c>
      <c r="F25" s="26">
        <f t="shared" si="1"/>
        <v>0.16323564309441507</v>
      </c>
      <c r="G25" s="26">
        <f t="shared" si="2"/>
        <v>6.6615855538565638E-2</v>
      </c>
      <c r="H25" s="26">
        <f t="shared" si="3"/>
        <v>2.3271862624054673E-2</v>
      </c>
      <c r="I25" s="26">
        <f t="shared" si="4"/>
        <v>3.1596883863337588E-2</v>
      </c>
      <c r="J25" s="7">
        <f t="shared" si="5"/>
        <v>6.0815973480525365E-2</v>
      </c>
    </row>
    <row r="26" spans="2:10" x14ac:dyDescent="0.3">
      <c r="B26" s="15">
        <v>2024</v>
      </c>
      <c r="C26" s="16">
        <v>8112.4016666666676</v>
      </c>
      <c r="D26" s="16">
        <v>10.050000000000001</v>
      </c>
      <c r="E26" s="16">
        <f t="shared" si="0"/>
        <v>807.20414593698183</v>
      </c>
      <c r="F26" s="26">
        <f t="shared" si="1"/>
        <v>0.18324822572127419</v>
      </c>
      <c r="G26" s="26">
        <f t="shared" si="2"/>
        <v>5.8390049927641074E-2</v>
      </c>
      <c r="H26" s="26">
        <f t="shared" si="3"/>
        <v>4.6346454605034282E-2</v>
      </c>
      <c r="I26" s="26">
        <f t="shared" si="4"/>
        <v>2.8157976021796483E-2</v>
      </c>
      <c r="J26" s="7">
        <f t="shared" si="5"/>
        <v>6.2685361230916614E-2</v>
      </c>
    </row>
    <row r="27" spans="2:10" x14ac:dyDescent="0.3">
      <c r="B27" s="15">
        <v>2025</v>
      </c>
      <c r="C27" s="16">
        <v>9094.5350000000017</v>
      </c>
      <c r="D27" s="16">
        <v>17.13</v>
      </c>
      <c r="E27" s="16">
        <f t="shared" si="0"/>
        <v>530.91272621132532</v>
      </c>
      <c r="F27" s="26">
        <f t="shared" si="1"/>
        <v>-4.4114505015183325E-2</v>
      </c>
      <c r="G27" s="26">
        <f t="shared" si="2"/>
        <v>2.4194001206577997E-2</v>
      </c>
      <c r="H27" s="26">
        <f t="shared" si="3"/>
        <v>8.8117879281137679E-3</v>
      </c>
      <c r="I27" s="26">
        <f t="shared" si="4"/>
        <v>8.40334342413529E-3</v>
      </c>
      <c r="J27" s="7">
        <f t="shared" si="5"/>
        <v>2.7113974199419522E-2</v>
      </c>
    </row>
    <row r="28" spans="2:10" x14ac:dyDescent="0.3">
      <c r="B28" s="18">
        <v>2026</v>
      </c>
      <c r="C28" s="19">
        <v>10503.187142857143</v>
      </c>
      <c r="D28" s="19">
        <v>20.46</v>
      </c>
      <c r="E28" s="19">
        <f t="shared" si="0"/>
        <v>513.35225527161015</v>
      </c>
      <c r="F28" s="27">
        <f t="shared" si="1"/>
        <v>-0.11535955416670607</v>
      </c>
      <c r="G28" s="27">
        <f t="shared" si="2"/>
        <v>1.0489802766659118E-2</v>
      </c>
      <c r="H28" s="27">
        <f t="shared" si="3"/>
        <v>1.0731521481713413E-2</v>
      </c>
      <c r="I28" s="27">
        <f t="shared" si="4"/>
        <v>-5.1228777444165541E-3</v>
      </c>
      <c r="J28" s="9">
        <f t="shared" si="5"/>
        <v>4.4600316512939386E-3</v>
      </c>
    </row>
    <row r="30" spans="2:10" x14ac:dyDescent="0.3">
      <c r="B30" s="2" t="s">
        <v>34</v>
      </c>
    </row>
  </sheetData>
  <mergeCells count="1">
    <mergeCell ref="L14:P1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308"/>
  <sheetViews>
    <sheetView showGridLines="0" workbookViewId="0">
      <selection activeCell="T32" sqref="T32"/>
    </sheetView>
  </sheetViews>
  <sheetFormatPr defaultRowHeight="14.4" x14ac:dyDescent="0.3"/>
  <cols>
    <col min="1" max="1" width="2" customWidth="1"/>
    <col min="2" max="2" width="11" bestFit="1" customWidth="1"/>
    <col min="10" max="10" width="18.109375" bestFit="1" customWidth="1"/>
    <col min="11" max="11" width="16" bestFit="1" customWidth="1"/>
    <col min="13" max="13" width="23" customWidth="1"/>
    <col min="14" max="14" width="8.44140625" customWidth="1"/>
  </cols>
  <sheetData>
    <row r="2" spans="2:17" x14ac:dyDescent="0.3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I2" s="3" t="s">
        <v>6</v>
      </c>
      <c r="J2" s="4" t="s">
        <v>7</v>
      </c>
      <c r="K2" s="5" t="s">
        <v>8</v>
      </c>
      <c r="M2" s="10" t="s">
        <v>9</v>
      </c>
      <c r="N2" s="10" t="s">
        <v>10</v>
      </c>
      <c r="O2" s="14">
        <f>AVERAGE(K9:K28)</f>
        <v>3.381746830188654E-2</v>
      </c>
    </row>
    <row r="3" spans="2:17" x14ac:dyDescent="0.3">
      <c r="B3" s="12">
        <v>46029</v>
      </c>
      <c r="C3" s="6">
        <v>10926.55</v>
      </c>
      <c r="D3" s="6">
        <v>10497.6</v>
      </c>
      <c r="E3" s="6">
        <v>10950.69</v>
      </c>
      <c r="F3" s="6">
        <v>10397.48</v>
      </c>
      <c r="G3" s="7">
        <v>4.0899999999999999E-2</v>
      </c>
      <c r="I3" s="15">
        <v>2001</v>
      </c>
      <c r="J3" s="16">
        <f>AVERAGEIFS($C$3:$C$308,$B$3:$B$308,"&gt;="&amp;DATE(I3,1,1),$B$3:$B$308,"&lt;="&amp;DATE(I3,12,31))</f>
        <v>5472.2999999999993</v>
      </c>
      <c r="K3" s="17"/>
      <c r="O3" s="1"/>
    </row>
    <row r="4" spans="2:17" x14ac:dyDescent="0.3">
      <c r="B4" s="12">
        <v>46028</v>
      </c>
      <c r="C4" s="6">
        <v>10497.12</v>
      </c>
      <c r="D4" s="6">
        <v>10409.34</v>
      </c>
      <c r="E4" s="6">
        <v>10613.18</v>
      </c>
      <c r="F4" s="6">
        <v>10127.6</v>
      </c>
      <c r="G4" s="7">
        <v>8.3999999999999995E-3</v>
      </c>
      <c r="I4" s="15">
        <f>I3+1</f>
        <v>2002</v>
      </c>
      <c r="J4" s="16">
        <f t="shared" ref="J4:J28" si="0">AVERAGEIFS($C$3:$C$308,$B$3:$B$308,"&gt;="&amp;DATE(I4,1,1),$B$3:$B$308,"&lt;="&amp;DATE(I4,12,31))</f>
        <v>4565.791666666667</v>
      </c>
      <c r="K4" s="7">
        <f>J4/J3-1</f>
        <v>-0.16565399070470044</v>
      </c>
      <c r="M4" s="10" t="s">
        <v>9</v>
      </c>
      <c r="N4" s="10" t="s">
        <v>11</v>
      </c>
      <c r="O4" s="14">
        <f>AVERAGE(K14:K28)</f>
        <v>4.4462100947393314E-2</v>
      </c>
    </row>
    <row r="5" spans="2:17" x14ac:dyDescent="0.3">
      <c r="B5" s="12">
        <v>46027</v>
      </c>
      <c r="C5" s="6">
        <v>10409.280000000001</v>
      </c>
      <c r="D5" s="6">
        <v>10378.35</v>
      </c>
      <c r="E5" s="6">
        <v>10557.16</v>
      </c>
      <c r="F5" s="6">
        <v>10151.450000000001</v>
      </c>
      <c r="G5" s="7">
        <v>2.8999999999999998E-3</v>
      </c>
      <c r="I5" s="15">
        <f t="shared" ref="I5:I28" si="1">I4+1</f>
        <v>2003</v>
      </c>
      <c r="J5" s="16">
        <f t="shared" si="0"/>
        <v>4029.835833333334</v>
      </c>
      <c r="K5" s="7">
        <f t="shared" ref="K5:K28" si="2">J5/J4-1</f>
        <v>-0.11738508290822136</v>
      </c>
      <c r="O5" s="1"/>
    </row>
    <row r="6" spans="2:17" x14ac:dyDescent="0.3">
      <c r="B6" s="12">
        <v>46026</v>
      </c>
      <c r="C6" s="6">
        <v>10378.82</v>
      </c>
      <c r="D6" s="6">
        <v>10174.94</v>
      </c>
      <c r="E6" s="6">
        <v>10687.88</v>
      </c>
      <c r="F6" s="6">
        <v>10169.299999999999</v>
      </c>
      <c r="G6" s="7">
        <v>1.9900000000000001E-2</v>
      </c>
      <c r="I6" s="15">
        <f t="shared" si="1"/>
        <v>2004</v>
      </c>
      <c r="J6" s="16">
        <f t="shared" si="0"/>
        <v>4519.8225000000002</v>
      </c>
      <c r="K6" s="7">
        <f t="shared" si="2"/>
        <v>0.1215897339076879</v>
      </c>
      <c r="M6" s="10" t="s">
        <v>9</v>
      </c>
      <c r="N6" s="10" t="s">
        <v>12</v>
      </c>
      <c r="O6" s="14">
        <f>AVERAGE(K19:K28)</f>
        <v>5.2343473950293359E-2</v>
      </c>
    </row>
    <row r="7" spans="2:17" x14ac:dyDescent="0.3">
      <c r="B7" s="12">
        <v>46025</v>
      </c>
      <c r="C7" s="6">
        <v>10176.450000000001</v>
      </c>
      <c r="D7" s="6">
        <v>10910.98</v>
      </c>
      <c r="E7" s="6">
        <v>10910.98</v>
      </c>
      <c r="F7" s="6">
        <v>9670.4599999999991</v>
      </c>
      <c r="G7" s="7">
        <v>-6.7299999999999999E-2</v>
      </c>
      <c r="I7" s="15">
        <f t="shared" si="1"/>
        <v>2005</v>
      </c>
      <c r="J7" s="16">
        <f t="shared" si="0"/>
        <v>5167.5108333333328</v>
      </c>
      <c r="K7" s="7">
        <f t="shared" si="2"/>
        <v>0.14329950641498268</v>
      </c>
      <c r="O7" s="1"/>
    </row>
    <row r="8" spans="2:17" x14ac:dyDescent="0.3">
      <c r="B8" s="12">
        <v>46024</v>
      </c>
      <c r="C8" s="6">
        <v>10910.55</v>
      </c>
      <c r="D8" s="6">
        <v>10223.719999999999</v>
      </c>
      <c r="E8" s="6">
        <v>10934.94</v>
      </c>
      <c r="F8" s="6">
        <v>10145.36</v>
      </c>
      <c r="G8" s="7">
        <v>6.7199999999999996E-2</v>
      </c>
      <c r="I8" s="15">
        <f t="shared" si="1"/>
        <v>2006</v>
      </c>
      <c r="J8" s="16">
        <f t="shared" si="0"/>
        <v>5940.9075000000003</v>
      </c>
      <c r="K8" s="7">
        <f t="shared" si="2"/>
        <v>0.14966522405290883</v>
      </c>
      <c r="M8" s="10" t="s">
        <v>9</v>
      </c>
      <c r="N8" s="10" t="s">
        <v>13</v>
      </c>
      <c r="O8" s="14">
        <f>AVERAGE(K24:K28)</f>
        <v>8.6599996791439843E-2</v>
      </c>
    </row>
    <row r="9" spans="2:17" x14ac:dyDescent="0.3">
      <c r="B9" s="12">
        <v>46023</v>
      </c>
      <c r="C9" s="6">
        <v>10223.540000000001</v>
      </c>
      <c r="D9" s="6">
        <v>9931.2900000000009</v>
      </c>
      <c r="E9" s="6">
        <v>10277.719999999999</v>
      </c>
      <c r="F9" s="6">
        <v>9930.76</v>
      </c>
      <c r="G9" s="7">
        <v>2.9399999999999999E-2</v>
      </c>
      <c r="I9" s="15">
        <f t="shared" si="1"/>
        <v>2007</v>
      </c>
      <c r="J9" s="16">
        <f t="shared" si="0"/>
        <v>6425.1899999999987</v>
      </c>
      <c r="K9" s="7">
        <f t="shared" si="2"/>
        <v>8.1516586481105602E-2</v>
      </c>
      <c r="O9" s="1"/>
    </row>
    <row r="10" spans="2:17" x14ac:dyDescent="0.3">
      <c r="B10" s="12">
        <v>45669</v>
      </c>
      <c r="C10" s="6">
        <v>9931.3799999999992</v>
      </c>
      <c r="D10" s="6">
        <v>9720.5499999999993</v>
      </c>
      <c r="E10" s="6">
        <v>9954.32</v>
      </c>
      <c r="F10" s="6">
        <v>9622.74</v>
      </c>
      <c r="G10" s="7">
        <v>2.1700000000000001E-2</v>
      </c>
      <c r="I10" s="15">
        <f t="shared" si="1"/>
        <v>2008</v>
      </c>
      <c r="J10" s="16">
        <f t="shared" si="0"/>
        <v>5356.9458333333341</v>
      </c>
      <c r="K10" s="7">
        <f t="shared" si="2"/>
        <v>-0.16625876692621766</v>
      </c>
      <c r="M10" s="10" t="s">
        <v>9</v>
      </c>
      <c r="N10" s="10" t="s">
        <v>14</v>
      </c>
      <c r="O10" s="14">
        <f>AVERAGE(K26:K28)</f>
        <v>0.11374531404129244</v>
      </c>
    </row>
    <row r="11" spans="2:17" x14ac:dyDescent="0.3">
      <c r="B11" s="12">
        <v>45668</v>
      </c>
      <c r="C11" s="6">
        <v>9720.51</v>
      </c>
      <c r="D11" s="6">
        <v>9717.26</v>
      </c>
      <c r="E11" s="6">
        <v>9930.09</v>
      </c>
      <c r="F11" s="6">
        <v>9423.9</v>
      </c>
      <c r="G11" s="7">
        <v>2.9999999999999997E-4</v>
      </c>
      <c r="I11" s="15">
        <f t="shared" si="1"/>
        <v>2009</v>
      </c>
      <c r="J11" s="16">
        <f t="shared" si="0"/>
        <v>4593</v>
      </c>
      <c r="K11" s="7">
        <f t="shared" si="2"/>
        <v>-0.14260846704473251</v>
      </c>
    </row>
    <row r="12" spans="2:17" x14ac:dyDescent="0.3">
      <c r="B12" s="12">
        <v>45667</v>
      </c>
      <c r="C12" s="6">
        <v>9717.25</v>
      </c>
      <c r="D12" s="6">
        <v>9350.4599999999991</v>
      </c>
      <c r="E12" s="6">
        <v>9787.6299999999992</v>
      </c>
      <c r="F12" s="6">
        <v>9276.91</v>
      </c>
      <c r="G12" s="7">
        <v>3.9199999999999999E-2</v>
      </c>
      <c r="I12" s="15">
        <f t="shared" si="1"/>
        <v>2010</v>
      </c>
      <c r="J12" s="16">
        <f t="shared" si="0"/>
        <v>5418.041666666667</v>
      </c>
      <c r="K12" s="7">
        <f t="shared" si="2"/>
        <v>0.17963023441468917</v>
      </c>
    </row>
    <row r="13" spans="2:17" x14ac:dyDescent="0.3">
      <c r="B13" s="12">
        <v>45666</v>
      </c>
      <c r="C13" s="6">
        <v>9350.43</v>
      </c>
      <c r="D13" s="6">
        <v>9187.34</v>
      </c>
      <c r="E13" s="6">
        <v>9363.57</v>
      </c>
      <c r="F13" s="6">
        <v>9107.4</v>
      </c>
      <c r="G13" s="7">
        <v>1.78E-2</v>
      </c>
      <c r="I13" s="15">
        <f t="shared" si="1"/>
        <v>2011</v>
      </c>
      <c r="J13" s="16">
        <f t="shared" si="0"/>
        <v>5727.6191666666673</v>
      </c>
      <c r="K13" s="7">
        <f t="shared" si="2"/>
        <v>5.713826490198648E-2</v>
      </c>
    </row>
    <row r="14" spans="2:17" ht="15.6" x14ac:dyDescent="0.3">
      <c r="B14" s="12">
        <v>45665</v>
      </c>
      <c r="C14" s="6">
        <v>9187.34</v>
      </c>
      <c r="D14" s="6">
        <v>9132.81</v>
      </c>
      <c r="E14" s="6">
        <v>9357.51</v>
      </c>
      <c r="F14" s="6">
        <v>9027.94</v>
      </c>
      <c r="G14" s="7">
        <v>6.0000000000000001E-3</v>
      </c>
      <c r="I14" s="15">
        <f t="shared" si="1"/>
        <v>2012</v>
      </c>
      <c r="J14" s="16">
        <f t="shared" si="0"/>
        <v>5715.626666666667</v>
      </c>
      <c r="K14" s="7">
        <f t="shared" si="2"/>
        <v>-2.0938019185692269E-3</v>
      </c>
      <c r="M14" s="89" t="s">
        <v>7</v>
      </c>
      <c r="N14" s="89"/>
      <c r="O14" s="89"/>
      <c r="P14" s="89"/>
      <c r="Q14" s="89"/>
    </row>
    <row r="15" spans="2:17" x14ac:dyDescent="0.3">
      <c r="B15" s="12">
        <v>45664</v>
      </c>
      <c r="C15" s="6">
        <v>9132.81</v>
      </c>
      <c r="D15" s="6">
        <v>8760.9599999999991</v>
      </c>
      <c r="E15" s="6">
        <v>9190.73</v>
      </c>
      <c r="F15" s="6">
        <v>8726.92</v>
      </c>
      <c r="G15" s="7">
        <v>4.24E-2</v>
      </c>
      <c r="I15" s="15">
        <f t="shared" si="1"/>
        <v>2013</v>
      </c>
      <c r="J15" s="16">
        <f t="shared" si="0"/>
        <v>6492.1175000000003</v>
      </c>
      <c r="K15" s="7">
        <f t="shared" si="2"/>
        <v>0.13585401542438036</v>
      </c>
    </row>
    <row r="16" spans="2:17" x14ac:dyDescent="0.3">
      <c r="B16" s="12">
        <v>45663</v>
      </c>
      <c r="C16" s="6">
        <v>8760.9599999999991</v>
      </c>
      <c r="D16" s="6">
        <v>8772.3799999999992</v>
      </c>
      <c r="E16" s="6">
        <v>8902.4</v>
      </c>
      <c r="F16" s="6">
        <v>8707.65</v>
      </c>
      <c r="G16" s="7">
        <v>-1.2999999999999999E-3</v>
      </c>
      <c r="I16" s="15">
        <f t="shared" si="1"/>
        <v>2014</v>
      </c>
      <c r="J16" s="16">
        <f t="shared" si="0"/>
        <v>6691.229166666667</v>
      </c>
      <c r="K16" s="7">
        <f t="shared" si="2"/>
        <v>3.0669757081055016E-2</v>
      </c>
    </row>
    <row r="17" spans="2:11" x14ac:dyDescent="0.3">
      <c r="B17" s="12">
        <v>45662</v>
      </c>
      <c r="C17" s="6">
        <v>8772.3799999999992</v>
      </c>
      <c r="D17" s="6">
        <v>8494.85</v>
      </c>
      <c r="E17" s="6">
        <v>8824</v>
      </c>
      <c r="F17" s="6">
        <v>8468.26</v>
      </c>
      <c r="G17" s="7">
        <v>3.27E-2</v>
      </c>
      <c r="I17" s="15">
        <f t="shared" si="1"/>
        <v>2015</v>
      </c>
      <c r="J17" s="16">
        <f t="shared" si="0"/>
        <v>6575.0391666666656</v>
      </c>
      <c r="K17" s="7">
        <f t="shared" si="2"/>
        <v>-1.7364522587093423E-2</v>
      </c>
    </row>
    <row r="18" spans="2:11" x14ac:dyDescent="0.3">
      <c r="B18" s="12">
        <v>45661</v>
      </c>
      <c r="C18" s="6">
        <v>8494.85</v>
      </c>
      <c r="D18" s="6">
        <v>8582.81</v>
      </c>
      <c r="E18" s="6">
        <v>8671.91</v>
      </c>
      <c r="F18" s="6">
        <v>7544.83</v>
      </c>
      <c r="G18" s="7">
        <v>-1.0200000000000001E-2</v>
      </c>
      <c r="I18" s="15">
        <f t="shared" si="1"/>
        <v>2016</v>
      </c>
      <c r="J18" s="16">
        <f t="shared" si="0"/>
        <v>6551.5749999999998</v>
      </c>
      <c r="K18" s="7">
        <f t="shared" si="2"/>
        <v>-3.5686732918066566E-3</v>
      </c>
    </row>
    <row r="19" spans="2:11" x14ac:dyDescent="0.3">
      <c r="B19" s="12">
        <v>45660</v>
      </c>
      <c r="C19" s="6">
        <v>8582.81</v>
      </c>
      <c r="D19" s="6">
        <v>8809.74</v>
      </c>
      <c r="E19" s="6">
        <v>8908.82</v>
      </c>
      <c r="F19" s="6">
        <v>8481.11</v>
      </c>
      <c r="G19" s="7">
        <v>-2.58E-2</v>
      </c>
      <c r="I19" s="15">
        <f t="shared" si="1"/>
        <v>2017</v>
      </c>
      <c r="J19" s="16">
        <f t="shared" si="0"/>
        <v>7367.0849999999991</v>
      </c>
      <c r="K19" s="7">
        <f t="shared" si="2"/>
        <v>0.12447541240083471</v>
      </c>
    </row>
    <row r="20" spans="2:11" x14ac:dyDescent="0.3">
      <c r="B20" s="12">
        <v>45659</v>
      </c>
      <c r="C20" s="6">
        <v>8809.74</v>
      </c>
      <c r="D20" s="6">
        <v>8673.9599999999991</v>
      </c>
      <c r="E20" s="6">
        <v>8820.93</v>
      </c>
      <c r="F20" s="6">
        <v>8520.2000000000007</v>
      </c>
      <c r="G20" s="7">
        <v>1.5699999999999999E-2</v>
      </c>
      <c r="I20" s="15">
        <f t="shared" si="1"/>
        <v>2018</v>
      </c>
      <c r="J20" s="16">
        <f t="shared" si="0"/>
        <v>7347.8625000000002</v>
      </c>
      <c r="K20" s="7">
        <f t="shared" si="2"/>
        <v>-2.6092409684426165E-3</v>
      </c>
    </row>
    <row r="21" spans="2:11" x14ac:dyDescent="0.3">
      <c r="B21" s="12">
        <v>45658</v>
      </c>
      <c r="C21" s="6">
        <v>8673.9599999999991</v>
      </c>
      <c r="D21" s="6">
        <v>8173.02</v>
      </c>
      <c r="E21" s="6">
        <v>8692.84</v>
      </c>
      <c r="F21" s="6">
        <v>8160.6</v>
      </c>
      <c r="G21" s="7">
        <v>6.13E-2</v>
      </c>
      <c r="I21" s="15">
        <f t="shared" si="1"/>
        <v>2019</v>
      </c>
      <c r="J21" s="16">
        <f t="shared" si="0"/>
        <v>7305.6541666666662</v>
      </c>
      <c r="K21" s="7">
        <f t="shared" si="2"/>
        <v>-5.7443009219801944E-3</v>
      </c>
    </row>
    <row r="22" spans="2:11" x14ac:dyDescent="0.3">
      <c r="B22" s="12">
        <v>45303</v>
      </c>
      <c r="C22" s="6">
        <v>8173.02</v>
      </c>
      <c r="D22" s="6">
        <v>8287.2999999999993</v>
      </c>
      <c r="E22" s="6">
        <v>8388.3700000000008</v>
      </c>
      <c r="F22" s="6">
        <v>8002.34</v>
      </c>
      <c r="G22" s="7">
        <v>-1.38E-2</v>
      </c>
      <c r="I22" s="15">
        <f t="shared" si="1"/>
        <v>2020</v>
      </c>
      <c r="J22" s="16">
        <f t="shared" si="0"/>
        <v>6143.1283333333331</v>
      </c>
      <c r="K22" s="7">
        <f t="shared" si="2"/>
        <v>-0.15912686349670946</v>
      </c>
    </row>
    <row r="23" spans="2:11" x14ac:dyDescent="0.3">
      <c r="B23" s="12">
        <v>45302</v>
      </c>
      <c r="C23" s="6">
        <v>8287.2999999999993</v>
      </c>
      <c r="D23" s="6">
        <v>8110.1</v>
      </c>
      <c r="E23" s="6">
        <v>8307.27</v>
      </c>
      <c r="F23" s="6">
        <v>7995.87</v>
      </c>
      <c r="G23" s="7">
        <v>2.18E-2</v>
      </c>
      <c r="I23" s="15">
        <f t="shared" si="1"/>
        <v>2021</v>
      </c>
      <c r="J23" s="16">
        <f t="shared" si="0"/>
        <v>6962.8658333333333</v>
      </c>
      <c r="K23" s="7">
        <f t="shared" si="2"/>
        <v>0.133439748532032</v>
      </c>
    </row>
    <row r="24" spans="2:11" x14ac:dyDescent="0.3">
      <c r="B24" s="12">
        <v>45301</v>
      </c>
      <c r="C24" s="6">
        <v>8110.1</v>
      </c>
      <c r="D24" s="6">
        <v>8236.9500000000007</v>
      </c>
      <c r="E24" s="6">
        <v>8395.58</v>
      </c>
      <c r="F24" s="6">
        <v>8071.72</v>
      </c>
      <c r="G24" s="7">
        <v>-1.54E-2</v>
      </c>
      <c r="I24" s="15">
        <f t="shared" si="1"/>
        <v>2022</v>
      </c>
      <c r="J24" s="16">
        <f t="shared" si="0"/>
        <v>7373.375</v>
      </c>
      <c r="K24" s="7">
        <f t="shared" si="2"/>
        <v>5.8956926141163768E-2</v>
      </c>
    </row>
    <row r="25" spans="2:11" x14ac:dyDescent="0.3">
      <c r="B25" s="12">
        <v>45300</v>
      </c>
      <c r="C25" s="6">
        <v>8236.9500000000007</v>
      </c>
      <c r="D25" s="6">
        <v>8376.6299999999992</v>
      </c>
      <c r="E25" s="6">
        <v>8380.98</v>
      </c>
      <c r="F25" s="6">
        <v>8168.42</v>
      </c>
      <c r="G25" s="7">
        <v>-1.67E-2</v>
      </c>
      <c r="I25" s="15">
        <f t="shared" si="1"/>
        <v>2023</v>
      </c>
      <c r="J25" s="16">
        <f t="shared" si="0"/>
        <v>7615.274166666667</v>
      </c>
      <c r="K25" s="7">
        <f t="shared" si="2"/>
        <v>3.2807115692158106E-2</v>
      </c>
    </row>
    <row r="26" spans="2:11" x14ac:dyDescent="0.3">
      <c r="B26" s="12">
        <v>45299</v>
      </c>
      <c r="C26" s="6">
        <v>8376.6299999999992</v>
      </c>
      <c r="D26" s="6">
        <v>8283.36</v>
      </c>
      <c r="E26" s="6">
        <v>8414.3700000000008</v>
      </c>
      <c r="F26" s="6">
        <v>8008.23</v>
      </c>
      <c r="G26" s="7">
        <v>1E-3</v>
      </c>
      <c r="I26" s="15">
        <f t="shared" si="1"/>
        <v>2024</v>
      </c>
      <c r="J26" s="16">
        <f t="shared" si="0"/>
        <v>8112.4016666666676</v>
      </c>
      <c r="K26" s="7">
        <f t="shared" si="2"/>
        <v>6.5280315471242023E-2</v>
      </c>
    </row>
    <row r="27" spans="2:11" x14ac:dyDescent="0.3">
      <c r="B27" s="12">
        <v>45298</v>
      </c>
      <c r="C27" s="6">
        <v>8367.98</v>
      </c>
      <c r="D27" s="6">
        <v>8164.12</v>
      </c>
      <c r="E27" s="6">
        <v>8399.8799999999992</v>
      </c>
      <c r="F27" s="6">
        <v>8056.01</v>
      </c>
      <c r="G27" s="7">
        <v>2.5000000000000001E-2</v>
      </c>
      <c r="I27" s="15">
        <f>I26+1</f>
        <v>2025</v>
      </c>
      <c r="J27" s="16">
        <f t="shared" si="0"/>
        <v>9094.5350000000017</v>
      </c>
      <c r="K27" s="7">
        <f t="shared" si="2"/>
        <v>0.12106566879804004</v>
      </c>
    </row>
    <row r="28" spans="2:11" x14ac:dyDescent="0.3">
      <c r="B28" s="12">
        <v>45297</v>
      </c>
      <c r="C28" s="6">
        <v>8164.12</v>
      </c>
      <c r="D28" s="6">
        <v>8275.3799999999992</v>
      </c>
      <c r="E28" s="6">
        <v>8371.7199999999993</v>
      </c>
      <c r="F28" s="6">
        <v>8112.93</v>
      </c>
      <c r="G28" s="7">
        <v>-1.34E-2</v>
      </c>
      <c r="I28" s="18">
        <f t="shared" si="1"/>
        <v>2026</v>
      </c>
      <c r="J28" s="19">
        <f t="shared" si="0"/>
        <v>10503.187142857143</v>
      </c>
      <c r="K28" s="9">
        <f t="shared" si="2"/>
        <v>0.15488995785459525</v>
      </c>
    </row>
    <row r="29" spans="2:11" x14ac:dyDescent="0.3">
      <c r="B29" s="12">
        <v>45296</v>
      </c>
      <c r="C29" s="6">
        <v>8275.3799999999992</v>
      </c>
      <c r="D29" s="6">
        <v>8144.13</v>
      </c>
      <c r="E29" s="6">
        <v>8474.41</v>
      </c>
      <c r="F29" s="6">
        <v>8111.38</v>
      </c>
      <c r="G29" s="7">
        <v>1.61E-2</v>
      </c>
    </row>
    <row r="30" spans="2:11" x14ac:dyDescent="0.3">
      <c r="B30" s="12">
        <v>45295</v>
      </c>
      <c r="C30" s="6">
        <v>8144.13</v>
      </c>
      <c r="D30" s="6">
        <v>7952.62</v>
      </c>
      <c r="E30" s="6">
        <v>8199.9500000000007</v>
      </c>
      <c r="F30" s="6">
        <v>7793.91</v>
      </c>
      <c r="G30" s="7">
        <v>2.41E-2</v>
      </c>
      <c r="I30" s="2" t="s">
        <v>33</v>
      </c>
    </row>
    <row r="31" spans="2:11" x14ac:dyDescent="0.3">
      <c r="B31" s="12">
        <v>45294</v>
      </c>
      <c r="C31" s="6">
        <v>7952.62</v>
      </c>
      <c r="D31" s="6">
        <v>7630.02</v>
      </c>
      <c r="E31" s="6">
        <v>7975.38</v>
      </c>
      <c r="F31" s="6">
        <v>7598.47</v>
      </c>
      <c r="G31" s="7">
        <v>4.2299999999999997E-2</v>
      </c>
    </row>
    <row r="32" spans="2:11" x14ac:dyDescent="0.3">
      <c r="B32" s="12">
        <v>45293</v>
      </c>
      <c r="C32" s="6">
        <v>7630.02</v>
      </c>
      <c r="D32" s="6">
        <v>7630.57</v>
      </c>
      <c r="E32" s="6">
        <v>7748.73</v>
      </c>
      <c r="F32" s="6">
        <v>7492.98</v>
      </c>
      <c r="G32" s="7">
        <v>-1E-4</v>
      </c>
    </row>
    <row r="33" spans="2:7" x14ac:dyDescent="0.3">
      <c r="B33" s="12">
        <v>45292</v>
      </c>
      <c r="C33" s="6">
        <v>7630.57</v>
      </c>
      <c r="D33" s="6">
        <v>7733.24</v>
      </c>
      <c r="E33" s="6">
        <v>7764.37</v>
      </c>
      <c r="F33" s="6">
        <v>7404.08</v>
      </c>
      <c r="G33" s="7">
        <v>-1.3299999999999999E-2</v>
      </c>
    </row>
    <row r="34" spans="2:7" x14ac:dyDescent="0.3">
      <c r="B34" s="12">
        <v>44938</v>
      </c>
      <c r="C34" s="6">
        <v>7733.24</v>
      </c>
      <c r="D34" s="6">
        <v>7453.75</v>
      </c>
      <c r="E34" s="6">
        <v>7762.88</v>
      </c>
      <c r="F34" s="6">
        <v>7453.75</v>
      </c>
      <c r="G34" s="7">
        <v>3.7499999999999999E-2</v>
      </c>
    </row>
    <row r="35" spans="2:7" x14ac:dyDescent="0.3">
      <c r="B35" s="12">
        <v>44937</v>
      </c>
      <c r="C35" s="6">
        <v>7453.75</v>
      </c>
      <c r="D35" s="6">
        <v>7321.72</v>
      </c>
      <c r="E35" s="6">
        <v>7533.77</v>
      </c>
      <c r="F35" s="6">
        <v>7304.89</v>
      </c>
      <c r="G35" s="7">
        <v>1.7999999999999999E-2</v>
      </c>
    </row>
    <row r="36" spans="2:7" x14ac:dyDescent="0.3">
      <c r="B36" s="12">
        <v>44936</v>
      </c>
      <c r="C36" s="6">
        <v>7321.72</v>
      </c>
      <c r="D36" s="6">
        <v>7608.08</v>
      </c>
      <c r="E36" s="6">
        <v>7687.91</v>
      </c>
      <c r="F36" s="6">
        <v>7279.86</v>
      </c>
      <c r="G36" s="7">
        <v>-3.7600000000000001E-2</v>
      </c>
    </row>
    <row r="37" spans="2:7" x14ac:dyDescent="0.3">
      <c r="B37" s="12">
        <v>44935</v>
      </c>
      <c r="C37" s="6">
        <v>7608.08</v>
      </c>
      <c r="D37" s="6">
        <v>7439.13</v>
      </c>
      <c r="E37" s="6">
        <v>7746.53</v>
      </c>
      <c r="F37" s="6">
        <v>7369.64</v>
      </c>
      <c r="G37" s="7">
        <v>2.2700000000000001E-2</v>
      </c>
    </row>
    <row r="38" spans="2:7" x14ac:dyDescent="0.3">
      <c r="B38" s="12">
        <v>44934</v>
      </c>
      <c r="C38" s="6">
        <v>7439.13</v>
      </c>
      <c r="D38" s="6">
        <v>7699.41</v>
      </c>
      <c r="E38" s="6">
        <v>7715.24</v>
      </c>
      <c r="F38" s="6">
        <v>7215.76</v>
      </c>
      <c r="G38" s="7">
        <v>-3.3799999999999997E-2</v>
      </c>
    </row>
    <row r="39" spans="2:7" x14ac:dyDescent="0.3">
      <c r="B39" s="12">
        <v>44933</v>
      </c>
      <c r="C39" s="6">
        <v>7699.41</v>
      </c>
      <c r="D39" s="6">
        <v>7531.53</v>
      </c>
      <c r="E39" s="6">
        <v>7722.92</v>
      </c>
      <c r="F39" s="6">
        <v>7229.57</v>
      </c>
      <c r="G39" s="7">
        <v>2.23E-2</v>
      </c>
    </row>
    <row r="40" spans="2:7" x14ac:dyDescent="0.3">
      <c r="B40" s="12">
        <v>44932</v>
      </c>
      <c r="C40" s="6">
        <v>7531.53</v>
      </c>
      <c r="D40" s="6">
        <v>7446.14</v>
      </c>
      <c r="E40" s="6">
        <v>7687.61</v>
      </c>
      <c r="F40" s="6">
        <v>7401.18</v>
      </c>
      <c r="G40" s="7">
        <v>1.15E-2</v>
      </c>
    </row>
    <row r="41" spans="2:7" x14ac:dyDescent="0.3">
      <c r="B41" s="12">
        <v>44931</v>
      </c>
      <c r="C41" s="6">
        <v>7446.14</v>
      </c>
      <c r="D41" s="6">
        <v>7870.57</v>
      </c>
      <c r="E41" s="6">
        <v>7898.69</v>
      </c>
      <c r="F41" s="6">
        <v>7446.14</v>
      </c>
      <c r="G41" s="7">
        <v>-5.3900000000000003E-2</v>
      </c>
    </row>
    <row r="42" spans="2:7" x14ac:dyDescent="0.3">
      <c r="B42" s="12">
        <v>44930</v>
      </c>
      <c r="C42" s="6">
        <v>7870.57</v>
      </c>
      <c r="D42" s="6">
        <v>7631.74</v>
      </c>
      <c r="E42" s="6">
        <v>7936.11</v>
      </c>
      <c r="F42" s="6">
        <v>7631.74</v>
      </c>
      <c r="G42" s="7">
        <v>3.1300000000000001E-2</v>
      </c>
    </row>
    <row r="43" spans="2:7" x14ac:dyDescent="0.3">
      <c r="B43" s="12">
        <v>44929</v>
      </c>
      <c r="C43" s="6">
        <v>7631.74</v>
      </c>
      <c r="D43" s="6">
        <v>7876.28</v>
      </c>
      <c r="E43" s="6">
        <v>7974.4</v>
      </c>
      <c r="F43" s="6">
        <v>7206.82</v>
      </c>
      <c r="G43" s="7">
        <v>-3.1E-2</v>
      </c>
    </row>
    <row r="44" spans="2:7" x14ac:dyDescent="0.3">
      <c r="B44" s="12">
        <v>44928</v>
      </c>
      <c r="C44" s="6">
        <v>7876.28</v>
      </c>
      <c r="D44" s="6">
        <v>7771.7</v>
      </c>
      <c r="E44" s="6">
        <v>8047.06</v>
      </c>
      <c r="F44" s="6">
        <v>7745.43</v>
      </c>
      <c r="G44" s="7">
        <v>1.35E-2</v>
      </c>
    </row>
    <row r="45" spans="2:7" x14ac:dyDescent="0.3">
      <c r="B45" s="12">
        <v>44927</v>
      </c>
      <c r="C45" s="6">
        <v>7771.7</v>
      </c>
      <c r="D45" s="6">
        <v>7451.74</v>
      </c>
      <c r="E45" s="6">
        <v>7875.58</v>
      </c>
      <c r="F45" s="6">
        <v>7448.69</v>
      </c>
      <c r="G45" s="7">
        <v>4.2900000000000001E-2</v>
      </c>
    </row>
    <row r="46" spans="2:7" x14ac:dyDescent="0.3">
      <c r="B46" s="12">
        <v>44573</v>
      </c>
      <c r="C46" s="6">
        <v>7451.74</v>
      </c>
      <c r="D46" s="6">
        <v>7573.05</v>
      </c>
      <c r="E46" s="6">
        <v>7599.7</v>
      </c>
      <c r="F46" s="6">
        <v>7302.82</v>
      </c>
      <c r="G46" s="7">
        <v>-1.6E-2</v>
      </c>
    </row>
    <row r="47" spans="2:7" x14ac:dyDescent="0.3">
      <c r="B47" s="12">
        <v>44572</v>
      </c>
      <c r="C47" s="6">
        <v>7573.05</v>
      </c>
      <c r="D47" s="6">
        <v>7094.53</v>
      </c>
      <c r="E47" s="6">
        <v>7599.27</v>
      </c>
      <c r="F47" s="6">
        <v>7076.47</v>
      </c>
      <c r="G47" s="7">
        <v>6.7400000000000002E-2</v>
      </c>
    </row>
    <row r="48" spans="2:7" x14ac:dyDescent="0.3">
      <c r="B48" s="12">
        <v>44571</v>
      </c>
      <c r="C48" s="6">
        <v>7094.53</v>
      </c>
      <c r="D48" s="6">
        <v>6893.81</v>
      </c>
      <c r="E48" s="6">
        <v>7132.85</v>
      </c>
      <c r="F48" s="6">
        <v>6707.62</v>
      </c>
      <c r="G48" s="7">
        <v>2.9100000000000001E-2</v>
      </c>
    </row>
    <row r="49" spans="2:7" x14ac:dyDescent="0.3">
      <c r="B49" s="12">
        <v>44570</v>
      </c>
      <c r="C49" s="6">
        <v>6893.81</v>
      </c>
      <c r="D49" s="6">
        <v>7284.15</v>
      </c>
      <c r="E49" s="6">
        <v>7514.04</v>
      </c>
      <c r="F49" s="6">
        <v>6829.29</v>
      </c>
      <c r="G49" s="7">
        <v>-5.3600000000000002E-2</v>
      </c>
    </row>
    <row r="50" spans="2:7" x14ac:dyDescent="0.3">
      <c r="B50" s="12">
        <v>44569</v>
      </c>
      <c r="C50" s="6">
        <v>7284.15</v>
      </c>
      <c r="D50" s="6">
        <v>7446.01</v>
      </c>
      <c r="E50" s="6">
        <v>7578.85</v>
      </c>
      <c r="F50" s="6">
        <v>7263.62</v>
      </c>
      <c r="G50" s="7">
        <v>-1.8800000000000001E-2</v>
      </c>
    </row>
    <row r="51" spans="2:7" x14ac:dyDescent="0.3">
      <c r="B51" s="12">
        <v>44568</v>
      </c>
      <c r="C51" s="6">
        <v>7423.43</v>
      </c>
      <c r="D51" s="6">
        <v>7169.28</v>
      </c>
      <c r="E51" s="6">
        <v>7441.2</v>
      </c>
      <c r="F51" s="6">
        <v>7007.09</v>
      </c>
      <c r="G51" s="7">
        <v>3.5400000000000001E-2</v>
      </c>
    </row>
    <row r="52" spans="2:7" x14ac:dyDescent="0.3">
      <c r="B52" s="12">
        <v>44567</v>
      </c>
      <c r="C52" s="6">
        <v>7169.28</v>
      </c>
      <c r="D52" s="6">
        <v>7607.66</v>
      </c>
      <c r="E52" s="6">
        <v>7646.66</v>
      </c>
      <c r="F52" s="6">
        <v>6998.17</v>
      </c>
      <c r="G52" s="7">
        <v>-5.7599999999999998E-2</v>
      </c>
    </row>
    <row r="53" spans="2:7" x14ac:dyDescent="0.3">
      <c r="B53" s="12">
        <v>44566</v>
      </c>
      <c r="C53" s="6">
        <v>7607.66</v>
      </c>
      <c r="D53" s="6">
        <v>7544.55</v>
      </c>
      <c r="E53" s="6">
        <v>7648.26</v>
      </c>
      <c r="F53" s="6">
        <v>7158.53</v>
      </c>
      <c r="G53" s="7">
        <v>8.3999999999999995E-3</v>
      </c>
    </row>
    <row r="54" spans="2:7" x14ac:dyDescent="0.3">
      <c r="B54" s="12">
        <v>44565</v>
      </c>
      <c r="C54" s="6">
        <v>7544.55</v>
      </c>
      <c r="D54" s="6">
        <v>7515.68</v>
      </c>
      <c r="E54" s="6">
        <v>7669.56</v>
      </c>
      <c r="F54" s="6">
        <v>7339.53</v>
      </c>
      <c r="G54" s="7">
        <v>3.8E-3</v>
      </c>
    </row>
    <row r="55" spans="2:7" x14ac:dyDescent="0.3">
      <c r="B55" s="12">
        <v>44564</v>
      </c>
      <c r="C55" s="6">
        <v>7515.68</v>
      </c>
      <c r="D55" s="6">
        <v>7458.25</v>
      </c>
      <c r="E55" s="6">
        <v>7595.42</v>
      </c>
      <c r="F55" s="6">
        <v>6787.98</v>
      </c>
      <c r="G55" s="7">
        <v>7.7000000000000002E-3</v>
      </c>
    </row>
    <row r="56" spans="2:7" x14ac:dyDescent="0.3">
      <c r="B56" s="12">
        <v>44563</v>
      </c>
      <c r="C56" s="6">
        <v>7458.25</v>
      </c>
      <c r="D56" s="6">
        <v>7464.37</v>
      </c>
      <c r="E56" s="6">
        <v>7687.27</v>
      </c>
      <c r="F56" s="6">
        <v>7204.74</v>
      </c>
      <c r="G56" s="7">
        <v>-8.0000000000000004E-4</v>
      </c>
    </row>
    <row r="57" spans="2:7" x14ac:dyDescent="0.3">
      <c r="B57" s="12">
        <v>44562</v>
      </c>
      <c r="C57" s="6">
        <v>7464.37</v>
      </c>
      <c r="D57" s="6">
        <v>7384.54</v>
      </c>
      <c r="E57" s="6">
        <v>7619.01</v>
      </c>
      <c r="F57" s="6">
        <v>7283.38</v>
      </c>
      <c r="G57" s="7">
        <v>1.0800000000000001E-2</v>
      </c>
    </row>
    <row r="58" spans="2:7" x14ac:dyDescent="0.3">
      <c r="B58" s="12">
        <v>44208</v>
      </c>
      <c r="C58" s="6">
        <v>7384.54</v>
      </c>
      <c r="D58" s="6">
        <v>7059.45</v>
      </c>
      <c r="E58" s="6">
        <v>7457.14</v>
      </c>
      <c r="F58" s="6">
        <v>7059.35</v>
      </c>
      <c r="G58" s="7">
        <v>4.6100000000000002E-2</v>
      </c>
    </row>
    <row r="59" spans="2:7" x14ac:dyDescent="0.3">
      <c r="B59" s="12">
        <v>44207</v>
      </c>
      <c r="C59" s="6">
        <v>7059.45</v>
      </c>
      <c r="D59" s="6">
        <v>7237.57</v>
      </c>
      <c r="E59" s="6">
        <v>7402.68</v>
      </c>
      <c r="F59" s="6">
        <v>6989.66</v>
      </c>
      <c r="G59" s="7">
        <v>-2.46E-2</v>
      </c>
    </row>
    <row r="60" spans="2:7" x14ac:dyDescent="0.3">
      <c r="B60" s="12">
        <v>44206</v>
      </c>
      <c r="C60" s="6">
        <v>7237.57</v>
      </c>
      <c r="D60" s="6">
        <v>7086.42</v>
      </c>
      <c r="E60" s="6">
        <v>7281.17</v>
      </c>
      <c r="F60" s="6">
        <v>6945.5</v>
      </c>
      <c r="G60" s="7">
        <v>2.1299999999999999E-2</v>
      </c>
    </row>
    <row r="61" spans="2:7" x14ac:dyDescent="0.3">
      <c r="B61" s="12">
        <v>44205</v>
      </c>
      <c r="C61" s="6">
        <v>7086.42</v>
      </c>
      <c r="D61" s="6">
        <v>7119.7</v>
      </c>
      <c r="E61" s="6">
        <v>7195.62</v>
      </c>
      <c r="F61" s="6">
        <v>6828.28</v>
      </c>
      <c r="G61" s="7">
        <v>-4.7000000000000002E-3</v>
      </c>
    </row>
    <row r="62" spans="2:7" x14ac:dyDescent="0.3">
      <c r="B62" s="12">
        <v>44204</v>
      </c>
      <c r="C62" s="6">
        <v>7119.7</v>
      </c>
      <c r="D62" s="6">
        <v>7032.3</v>
      </c>
      <c r="E62" s="6">
        <v>7224.46</v>
      </c>
      <c r="F62" s="6">
        <v>6993.06</v>
      </c>
      <c r="G62" s="7">
        <v>1.24E-2</v>
      </c>
    </row>
    <row r="63" spans="2:7" x14ac:dyDescent="0.3">
      <c r="B63" s="12">
        <v>44203</v>
      </c>
      <c r="C63" s="6">
        <v>7032.3</v>
      </c>
      <c r="D63" s="6">
        <v>7037.47</v>
      </c>
      <c r="E63" s="6">
        <v>7170.6</v>
      </c>
      <c r="F63" s="6">
        <v>6813.03</v>
      </c>
      <c r="G63" s="7">
        <v>-6.9999999999999999E-4</v>
      </c>
    </row>
    <row r="64" spans="2:7" x14ac:dyDescent="0.3">
      <c r="B64" s="12">
        <v>44202</v>
      </c>
      <c r="C64" s="6">
        <v>7037.47</v>
      </c>
      <c r="D64" s="6">
        <v>7022.61</v>
      </c>
      <c r="E64" s="6">
        <v>7217.54</v>
      </c>
      <c r="F64" s="6">
        <v>6948.63</v>
      </c>
      <c r="G64" s="7">
        <v>2.0999999999999999E-3</v>
      </c>
    </row>
    <row r="65" spans="2:7" x14ac:dyDescent="0.3">
      <c r="B65" s="12">
        <v>44201</v>
      </c>
      <c r="C65" s="6">
        <v>7022.61</v>
      </c>
      <c r="D65" s="6">
        <v>6969.81</v>
      </c>
      <c r="E65" s="6">
        <v>7164.18</v>
      </c>
      <c r="F65" s="6">
        <v>6823.6</v>
      </c>
      <c r="G65" s="7">
        <v>7.6E-3</v>
      </c>
    </row>
    <row r="66" spans="2:7" x14ac:dyDescent="0.3">
      <c r="B66" s="12">
        <v>44200</v>
      </c>
      <c r="C66" s="6">
        <v>6969.81</v>
      </c>
      <c r="D66" s="6">
        <v>6713.63</v>
      </c>
      <c r="E66" s="6">
        <v>7040.26</v>
      </c>
      <c r="F66" s="6">
        <v>6713.63</v>
      </c>
      <c r="G66" s="7">
        <v>3.8199999999999998E-2</v>
      </c>
    </row>
    <row r="67" spans="2:7" x14ac:dyDescent="0.3">
      <c r="B67" s="12">
        <v>44199</v>
      </c>
      <c r="C67" s="6">
        <v>6713.63</v>
      </c>
      <c r="D67" s="6">
        <v>6483.43</v>
      </c>
      <c r="E67" s="6">
        <v>6812.78</v>
      </c>
      <c r="F67" s="6">
        <v>6483.43</v>
      </c>
      <c r="G67" s="7">
        <v>3.5499999999999997E-2</v>
      </c>
    </row>
    <row r="68" spans="2:7" x14ac:dyDescent="0.3">
      <c r="B68" s="12">
        <v>44198</v>
      </c>
      <c r="C68" s="6">
        <v>6483.43</v>
      </c>
      <c r="D68" s="6">
        <v>6407.46</v>
      </c>
      <c r="E68" s="6">
        <v>6799.92</v>
      </c>
      <c r="F68" s="6">
        <v>6407.46</v>
      </c>
      <c r="G68" s="7">
        <v>1.1900000000000001E-2</v>
      </c>
    </row>
    <row r="69" spans="2:7" x14ac:dyDescent="0.3">
      <c r="B69" s="12">
        <v>44197</v>
      </c>
      <c r="C69" s="6">
        <v>6407.46</v>
      </c>
      <c r="D69" s="6">
        <v>6460.52</v>
      </c>
      <c r="E69" s="6">
        <v>6903.61</v>
      </c>
      <c r="F69" s="6">
        <v>6397.24</v>
      </c>
      <c r="G69" s="7">
        <v>-8.2000000000000007E-3</v>
      </c>
    </row>
    <row r="70" spans="2:7" x14ac:dyDescent="0.3">
      <c r="B70" s="12">
        <v>43842</v>
      </c>
      <c r="C70" s="6">
        <v>6460.52</v>
      </c>
      <c r="D70" s="6">
        <v>6266.19</v>
      </c>
      <c r="E70" s="6">
        <v>6676.6</v>
      </c>
      <c r="F70" s="6">
        <v>6263.6</v>
      </c>
      <c r="G70" s="7">
        <v>3.1E-2</v>
      </c>
    </row>
    <row r="71" spans="2:7" x14ac:dyDescent="0.3">
      <c r="B71" s="12">
        <v>43841</v>
      </c>
      <c r="C71" s="6">
        <v>6266.19</v>
      </c>
      <c r="D71" s="6">
        <v>5577.27</v>
      </c>
      <c r="E71" s="6">
        <v>6468.73</v>
      </c>
      <c r="F71" s="6">
        <v>5554.73</v>
      </c>
      <c r="G71" s="7">
        <v>0.1235</v>
      </c>
    </row>
    <row r="72" spans="2:7" x14ac:dyDescent="0.3">
      <c r="B72" s="12">
        <v>43840</v>
      </c>
      <c r="C72" s="6">
        <v>5577.27</v>
      </c>
      <c r="D72" s="6">
        <v>5866.1</v>
      </c>
      <c r="E72" s="6">
        <v>6040.47</v>
      </c>
      <c r="F72" s="6">
        <v>5525.52</v>
      </c>
      <c r="G72" s="7">
        <v>-4.9200000000000001E-2</v>
      </c>
    </row>
    <row r="73" spans="2:7" x14ac:dyDescent="0.3">
      <c r="B73" s="12">
        <v>43839</v>
      </c>
      <c r="C73" s="6">
        <v>5866.1</v>
      </c>
      <c r="D73" s="6">
        <v>5963.57</v>
      </c>
      <c r="E73" s="6">
        <v>6123.69</v>
      </c>
      <c r="F73" s="6">
        <v>5771.49</v>
      </c>
      <c r="G73" s="7">
        <v>-1.6299999999999999E-2</v>
      </c>
    </row>
    <row r="74" spans="2:7" x14ac:dyDescent="0.3">
      <c r="B74" s="12">
        <v>43838</v>
      </c>
      <c r="C74" s="6">
        <v>5963.57</v>
      </c>
      <c r="D74" s="6">
        <v>5897.76</v>
      </c>
      <c r="E74" s="6">
        <v>6297.2</v>
      </c>
      <c r="F74" s="6">
        <v>5857.06</v>
      </c>
      <c r="G74" s="7">
        <v>1.12E-2</v>
      </c>
    </row>
    <row r="75" spans="2:7" x14ac:dyDescent="0.3">
      <c r="B75" s="12">
        <v>43837</v>
      </c>
      <c r="C75" s="6">
        <v>5897.76</v>
      </c>
      <c r="D75" s="6">
        <v>6169.74</v>
      </c>
      <c r="E75" s="6">
        <v>6323.55</v>
      </c>
      <c r="F75" s="6">
        <v>5897.76</v>
      </c>
      <c r="G75" s="7">
        <v>-4.41E-2</v>
      </c>
    </row>
    <row r="76" spans="2:7" x14ac:dyDescent="0.3">
      <c r="B76" s="12">
        <v>43836</v>
      </c>
      <c r="C76" s="6">
        <v>6169.74</v>
      </c>
      <c r="D76" s="6">
        <v>6076.6</v>
      </c>
      <c r="E76" s="6">
        <v>6511.84</v>
      </c>
      <c r="F76" s="6">
        <v>5952.44</v>
      </c>
      <c r="G76" s="7">
        <v>1.5299999999999999E-2</v>
      </c>
    </row>
    <row r="77" spans="2:7" x14ac:dyDescent="0.3">
      <c r="B77" s="12">
        <v>43835</v>
      </c>
      <c r="C77" s="6">
        <v>6076.6</v>
      </c>
      <c r="D77" s="6">
        <v>5901.21</v>
      </c>
      <c r="E77" s="6">
        <v>6234.04</v>
      </c>
      <c r="F77" s="6">
        <v>5661.14</v>
      </c>
      <c r="G77" s="7">
        <v>2.9700000000000001E-2</v>
      </c>
    </row>
    <row r="78" spans="2:7" x14ac:dyDescent="0.3">
      <c r="B78" s="12">
        <v>43834</v>
      </c>
      <c r="C78" s="6">
        <v>5901.21</v>
      </c>
      <c r="D78" s="6">
        <v>5671.96</v>
      </c>
      <c r="E78" s="6">
        <v>6151.58</v>
      </c>
      <c r="F78" s="6">
        <v>5395.07</v>
      </c>
      <c r="G78" s="7">
        <v>4.0399999999999998E-2</v>
      </c>
    </row>
    <row r="79" spans="2:7" x14ac:dyDescent="0.3">
      <c r="B79" s="12">
        <v>43833</v>
      </c>
      <c r="C79" s="6">
        <v>5671.96</v>
      </c>
      <c r="D79" s="6">
        <v>6580.61</v>
      </c>
      <c r="E79" s="6">
        <v>6856.27</v>
      </c>
      <c r="F79" s="6">
        <v>4898.79</v>
      </c>
      <c r="G79" s="7">
        <v>-0.1381</v>
      </c>
    </row>
    <row r="80" spans="2:7" x14ac:dyDescent="0.3">
      <c r="B80" s="12">
        <v>43832</v>
      </c>
      <c r="C80" s="6">
        <v>6580.61</v>
      </c>
      <c r="D80" s="6">
        <v>7286.01</v>
      </c>
      <c r="E80" s="6">
        <v>7547.65</v>
      </c>
      <c r="F80" s="6">
        <v>6460.08</v>
      </c>
      <c r="G80" s="7">
        <v>-9.6799999999999997E-2</v>
      </c>
    </row>
    <row r="81" spans="2:7" x14ac:dyDescent="0.3">
      <c r="B81" s="12">
        <v>43831</v>
      </c>
      <c r="C81" s="6">
        <v>7286.01</v>
      </c>
      <c r="D81" s="6">
        <v>7542.44</v>
      </c>
      <c r="E81" s="6">
        <v>7689.67</v>
      </c>
      <c r="F81" s="6">
        <v>7275.03</v>
      </c>
      <c r="G81" s="7">
        <v>-3.4000000000000002E-2</v>
      </c>
    </row>
    <row r="82" spans="2:7" x14ac:dyDescent="0.3">
      <c r="B82" s="12">
        <v>43477</v>
      </c>
      <c r="C82" s="6">
        <v>7542.44</v>
      </c>
      <c r="D82" s="6">
        <v>7346.53</v>
      </c>
      <c r="E82" s="6">
        <v>7665.4</v>
      </c>
      <c r="F82" s="6">
        <v>7131.16</v>
      </c>
      <c r="G82" s="7">
        <v>2.6700000000000002E-2</v>
      </c>
    </row>
    <row r="83" spans="2:7" x14ac:dyDescent="0.3">
      <c r="B83" s="12">
        <v>43476</v>
      </c>
      <c r="C83" s="6">
        <v>7346.53</v>
      </c>
      <c r="D83" s="6">
        <v>7248.38</v>
      </c>
      <c r="E83" s="6">
        <v>7446</v>
      </c>
      <c r="F83" s="6">
        <v>7197.33</v>
      </c>
      <c r="G83" s="7">
        <v>1.35E-2</v>
      </c>
    </row>
    <row r="84" spans="2:7" x14ac:dyDescent="0.3">
      <c r="B84" s="12">
        <v>43475</v>
      </c>
      <c r="C84" s="6">
        <v>7248.38</v>
      </c>
      <c r="D84" s="6">
        <v>7408.21</v>
      </c>
      <c r="E84" s="6">
        <v>7433.24</v>
      </c>
      <c r="F84" s="6">
        <v>7004.43</v>
      </c>
      <c r="G84" s="7">
        <v>-2.1600000000000001E-2</v>
      </c>
    </row>
    <row r="85" spans="2:7" x14ac:dyDescent="0.3">
      <c r="B85" s="12">
        <v>43474</v>
      </c>
      <c r="C85" s="6">
        <v>7408.21</v>
      </c>
      <c r="D85" s="6">
        <v>7207.18</v>
      </c>
      <c r="E85" s="6">
        <v>7440.77</v>
      </c>
      <c r="F85" s="6">
        <v>7199.4</v>
      </c>
      <c r="G85" s="7">
        <v>2.7900000000000001E-2</v>
      </c>
    </row>
    <row r="86" spans="2:7" x14ac:dyDescent="0.3">
      <c r="B86" s="12">
        <v>43473</v>
      </c>
      <c r="C86" s="6">
        <v>7207.18</v>
      </c>
      <c r="D86" s="6">
        <v>7586.78</v>
      </c>
      <c r="E86" s="6">
        <v>7609.98</v>
      </c>
      <c r="F86" s="6">
        <v>7020.22</v>
      </c>
      <c r="G86" s="7">
        <v>-0.05</v>
      </c>
    </row>
    <row r="87" spans="2:7" x14ac:dyDescent="0.3">
      <c r="B87" s="12">
        <v>43472</v>
      </c>
      <c r="C87" s="6">
        <v>7586.78</v>
      </c>
      <c r="D87" s="6">
        <v>7425.63</v>
      </c>
      <c r="E87" s="6">
        <v>7727.49</v>
      </c>
      <c r="F87" s="6">
        <v>7425.63</v>
      </c>
      <c r="G87" s="7">
        <v>2.1700000000000001E-2</v>
      </c>
    </row>
    <row r="88" spans="2:7" x14ac:dyDescent="0.3">
      <c r="B88" s="12">
        <v>43471</v>
      </c>
      <c r="C88" s="6">
        <v>7425.63</v>
      </c>
      <c r="D88" s="6">
        <v>7161.71</v>
      </c>
      <c r="E88" s="6">
        <v>7469.19</v>
      </c>
      <c r="F88" s="6">
        <v>7079.71</v>
      </c>
      <c r="G88" s="7">
        <v>3.6900000000000002E-2</v>
      </c>
    </row>
    <row r="89" spans="2:7" x14ac:dyDescent="0.3">
      <c r="B89" s="12">
        <v>43470</v>
      </c>
      <c r="C89" s="6">
        <v>7161.71</v>
      </c>
      <c r="D89" s="6">
        <v>7418.22</v>
      </c>
      <c r="E89" s="6">
        <v>7446.46</v>
      </c>
      <c r="F89" s="6">
        <v>7130.85</v>
      </c>
      <c r="G89" s="7">
        <v>-3.4599999999999999E-2</v>
      </c>
    </row>
    <row r="90" spans="2:7" x14ac:dyDescent="0.3">
      <c r="B90" s="12">
        <v>43469</v>
      </c>
      <c r="C90" s="6">
        <v>7418.22</v>
      </c>
      <c r="D90" s="6">
        <v>7279.19</v>
      </c>
      <c r="E90" s="6">
        <v>7528.93</v>
      </c>
      <c r="F90" s="6">
        <v>7279.19</v>
      </c>
      <c r="G90" s="7">
        <v>1.9099999999999999E-2</v>
      </c>
    </row>
    <row r="91" spans="2:7" x14ac:dyDescent="0.3">
      <c r="B91" s="12">
        <v>43468</v>
      </c>
      <c r="C91" s="6">
        <v>7279.19</v>
      </c>
      <c r="D91" s="6">
        <v>7074.73</v>
      </c>
      <c r="E91" s="6">
        <v>7370.61</v>
      </c>
      <c r="F91" s="6">
        <v>7074.73</v>
      </c>
      <c r="G91" s="7">
        <v>2.8899999999999999E-2</v>
      </c>
    </row>
    <row r="92" spans="2:7" x14ac:dyDescent="0.3">
      <c r="B92" s="12">
        <v>43467</v>
      </c>
      <c r="C92" s="6">
        <v>7074.73</v>
      </c>
      <c r="D92" s="6">
        <v>6968.85</v>
      </c>
      <c r="E92" s="6">
        <v>7261.63</v>
      </c>
      <c r="F92" s="6">
        <v>6968.85</v>
      </c>
      <c r="G92" s="7">
        <v>1.52E-2</v>
      </c>
    </row>
    <row r="93" spans="2:7" x14ac:dyDescent="0.3">
      <c r="B93" s="12">
        <v>43466</v>
      </c>
      <c r="C93" s="6">
        <v>6968.85</v>
      </c>
      <c r="D93" s="6">
        <v>6728.13</v>
      </c>
      <c r="E93" s="6">
        <v>7001.94</v>
      </c>
      <c r="F93" s="6">
        <v>6599.48</v>
      </c>
      <c r="G93" s="7">
        <v>3.5799999999999998E-2</v>
      </c>
    </row>
    <row r="94" spans="2:7" x14ac:dyDescent="0.3">
      <c r="B94" s="12">
        <v>43112</v>
      </c>
      <c r="C94" s="6">
        <v>6728.13</v>
      </c>
      <c r="D94" s="6">
        <v>6980.24</v>
      </c>
      <c r="E94" s="6">
        <v>7145.49</v>
      </c>
      <c r="F94" s="6">
        <v>6536.53</v>
      </c>
      <c r="G94" s="7">
        <v>-3.61E-2</v>
      </c>
    </row>
    <row r="95" spans="2:7" x14ac:dyDescent="0.3">
      <c r="B95" s="12">
        <v>43111</v>
      </c>
      <c r="C95" s="6">
        <v>6980.24</v>
      </c>
      <c r="D95" s="6">
        <v>7128.1</v>
      </c>
      <c r="E95" s="6">
        <v>7196.39</v>
      </c>
      <c r="F95" s="6">
        <v>6904.21</v>
      </c>
      <c r="G95" s="7">
        <v>-2.07E-2</v>
      </c>
    </row>
    <row r="96" spans="2:7" x14ac:dyDescent="0.3">
      <c r="B96" s="12">
        <v>43110</v>
      </c>
      <c r="C96" s="6">
        <v>7128.1</v>
      </c>
      <c r="D96" s="6">
        <v>7510.2</v>
      </c>
      <c r="E96" s="6">
        <v>7526.2</v>
      </c>
      <c r="F96" s="6">
        <v>6851.59</v>
      </c>
      <c r="G96" s="7">
        <v>-5.0900000000000001E-2</v>
      </c>
    </row>
    <row r="97" spans="2:7" x14ac:dyDescent="0.3">
      <c r="B97" s="12">
        <v>43109</v>
      </c>
      <c r="C97" s="6">
        <v>7510.2</v>
      </c>
      <c r="D97" s="6">
        <v>7432.42</v>
      </c>
      <c r="E97" s="6">
        <v>7552.02</v>
      </c>
      <c r="F97" s="6">
        <v>7220.5</v>
      </c>
      <c r="G97" s="7">
        <v>1.0500000000000001E-2</v>
      </c>
    </row>
    <row r="98" spans="2:7" x14ac:dyDescent="0.3">
      <c r="B98" s="12">
        <v>43108</v>
      </c>
      <c r="C98" s="6">
        <v>7432.42</v>
      </c>
      <c r="D98" s="6">
        <v>7748.76</v>
      </c>
      <c r="E98" s="6">
        <v>7790.17</v>
      </c>
      <c r="F98" s="6">
        <v>7428.67</v>
      </c>
      <c r="G98" s="7">
        <v>-4.0800000000000003E-2</v>
      </c>
    </row>
    <row r="99" spans="2:7" x14ac:dyDescent="0.3">
      <c r="B99" s="12">
        <v>43107</v>
      </c>
      <c r="C99" s="6">
        <v>7748.76</v>
      </c>
      <c r="D99" s="6">
        <v>7636.93</v>
      </c>
      <c r="E99" s="6">
        <v>7782.9</v>
      </c>
      <c r="F99" s="6">
        <v>7540.71</v>
      </c>
      <c r="G99" s="7">
        <v>1.46E-2</v>
      </c>
    </row>
    <row r="100" spans="2:7" x14ac:dyDescent="0.3">
      <c r="B100" s="12">
        <v>43106</v>
      </c>
      <c r="C100" s="6">
        <v>7636.93</v>
      </c>
      <c r="D100" s="6">
        <v>7678.2</v>
      </c>
      <c r="E100" s="6">
        <v>7793.45</v>
      </c>
      <c r="F100" s="6">
        <v>7508.32</v>
      </c>
      <c r="G100" s="7">
        <v>-5.4000000000000003E-3</v>
      </c>
    </row>
    <row r="101" spans="2:7" x14ac:dyDescent="0.3">
      <c r="B101" s="12">
        <v>43105</v>
      </c>
      <c r="C101" s="6">
        <v>7678.2</v>
      </c>
      <c r="D101" s="6">
        <v>7509.3</v>
      </c>
      <c r="E101" s="6">
        <v>7903.5</v>
      </c>
      <c r="F101" s="6">
        <v>7492.39</v>
      </c>
      <c r="G101" s="7">
        <v>2.2499999999999999E-2</v>
      </c>
    </row>
    <row r="102" spans="2:7" x14ac:dyDescent="0.3">
      <c r="B102" s="12">
        <v>43104</v>
      </c>
      <c r="C102" s="6">
        <v>7509.3</v>
      </c>
      <c r="D102" s="6">
        <v>7056.61</v>
      </c>
      <c r="E102" s="6">
        <v>7546.16</v>
      </c>
      <c r="F102" s="6">
        <v>6971.75</v>
      </c>
      <c r="G102" s="7">
        <v>6.4199999999999993E-2</v>
      </c>
    </row>
    <row r="103" spans="2:7" x14ac:dyDescent="0.3">
      <c r="B103" s="12">
        <v>43103</v>
      </c>
      <c r="C103" s="6">
        <v>7056.61</v>
      </c>
      <c r="D103" s="6">
        <v>7231.91</v>
      </c>
      <c r="E103" s="6">
        <v>7254.87</v>
      </c>
      <c r="F103" s="6">
        <v>6866.94</v>
      </c>
      <c r="G103" s="7">
        <v>-2.4199999999999999E-2</v>
      </c>
    </row>
    <row r="104" spans="2:7" x14ac:dyDescent="0.3">
      <c r="B104" s="12">
        <v>43102</v>
      </c>
      <c r="C104" s="6">
        <v>7231.91</v>
      </c>
      <c r="D104" s="6">
        <v>7533.55</v>
      </c>
      <c r="E104" s="6">
        <v>7554.73</v>
      </c>
      <c r="F104" s="6">
        <v>7073.03</v>
      </c>
      <c r="G104" s="7">
        <v>-0.04</v>
      </c>
    </row>
    <row r="105" spans="2:7" x14ac:dyDescent="0.3">
      <c r="B105" s="12">
        <v>43101</v>
      </c>
      <c r="C105" s="6">
        <v>7533.55</v>
      </c>
      <c r="D105" s="6">
        <v>7687.77</v>
      </c>
      <c r="E105" s="6">
        <v>7792.56</v>
      </c>
      <c r="F105" s="6">
        <v>7521.77</v>
      </c>
      <c r="G105" s="7">
        <v>-2.01E-2</v>
      </c>
    </row>
    <row r="106" spans="2:7" x14ac:dyDescent="0.3">
      <c r="B106" s="12">
        <v>42747</v>
      </c>
      <c r="C106" s="6">
        <v>7687.77</v>
      </c>
      <c r="D106" s="6">
        <v>7326.67</v>
      </c>
      <c r="E106" s="6">
        <v>7697.62</v>
      </c>
      <c r="F106" s="6">
        <v>7288.73</v>
      </c>
      <c r="G106" s="7">
        <v>4.9299999999999997E-2</v>
      </c>
    </row>
    <row r="107" spans="2:7" x14ac:dyDescent="0.3">
      <c r="B107" s="12">
        <v>42746</v>
      </c>
      <c r="C107" s="6">
        <v>7326.67</v>
      </c>
      <c r="D107" s="6">
        <v>7493.08</v>
      </c>
      <c r="E107" s="6">
        <v>7582.85</v>
      </c>
      <c r="F107" s="6">
        <v>7326.67</v>
      </c>
      <c r="G107" s="7">
        <v>-2.2200000000000001E-2</v>
      </c>
    </row>
    <row r="108" spans="2:7" x14ac:dyDescent="0.3">
      <c r="B108" s="12">
        <v>42745</v>
      </c>
      <c r="C108" s="6">
        <v>7493.08</v>
      </c>
      <c r="D108" s="6">
        <v>7372.76</v>
      </c>
      <c r="E108" s="6">
        <v>7565.11</v>
      </c>
      <c r="F108" s="6">
        <v>7372.73</v>
      </c>
      <c r="G108" s="7">
        <v>1.6299999999999999E-2</v>
      </c>
    </row>
    <row r="109" spans="2:7" x14ac:dyDescent="0.3">
      <c r="B109" s="12">
        <v>42744</v>
      </c>
      <c r="C109" s="6">
        <v>7372.76</v>
      </c>
      <c r="D109" s="6">
        <v>7430.62</v>
      </c>
      <c r="E109" s="6">
        <v>7460.52</v>
      </c>
      <c r="F109" s="6">
        <v>7196.58</v>
      </c>
      <c r="G109" s="7">
        <v>-7.7999999999999996E-3</v>
      </c>
    </row>
    <row r="110" spans="2:7" x14ac:dyDescent="0.3">
      <c r="B110" s="12">
        <v>42743</v>
      </c>
      <c r="C110" s="6">
        <v>7430.62</v>
      </c>
      <c r="D110" s="6">
        <v>7372</v>
      </c>
      <c r="E110" s="6">
        <v>7551.85</v>
      </c>
      <c r="F110" s="6">
        <v>7289.2</v>
      </c>
      <c r="G110" s="7">
        <v>8.0000000000000002E-3</v>
      </c>
    </row>
    <row r="111" spans="2:7" x14ac:dyDescent="0.3">
      <c r="B111" s="12">
        <v>42742</v>
      </c>
      <c r="C111" s="6">
        <v>7372</v>
      </c>
      <c r="D111" s="6">
        <v>7312.72</v>
      </c>
      <c r="E111" s="6">
        <v>7515.12</v>
      </c>
      <c r="F111" s="6">
        <v>7303.46</v>
      </c>
      <c r="G111" s="7">
        <v>8.0999999999999996E-3</v>
      </c>
    </row>
    <row r="112" spans="2:7" x14ac:dyDescent="0.3">
      <c r="B112" s="12">
        <v>42741</v>
      </c>
      <c r="C112" s="6">
        <v>7312.72</v>
      </c>
      <c r="D112" s="6">
        <v>7519.95</v>
      </c>
      <c r="E112" s="6">
        <v>7598.99</v>
      </c>
      <c r="F112" s="6">
        <v>7302.71</v>
      </c>
      <c r="G112" s="7">
        <v>-2.76E-2</v>
      </c>
    </row>
    <row r="113" spans="2:7" x14ac:dyDescent="0.3">
      <c r="B113" s="12">
        <v>42740</v>
      </c>
      <c r="C113" s="6">
        <v>7519.95</v>
      </c>
      <c r="D113" s="6">
        <v>7203.94</v>
      </c>
      <c r="E113" s="6">
        <v>7586.45</v>
      </c>
      <c r="F113" s="6">
        <v>7203.94</v>
      </c>
      <c r="G113" s="7">
        <v>4.3900000000000002E-2</v>
      </c>
    </row>
    <row r="114" spans="2:7" x14ac:dyDescent="0.3">
      <c r="B114" s="12">
        <v>42739</v>
      </c>
      <c r="C114" s="6">
        <v>7203.94</v>
      </c>
      <c r="D114" s="6">
        <v>7322.92</v>
      </c>
      <c r="E114" s="6">
        <v>7406.35</v>
      </c>
      <c r="F114" s="6">
        <v>7096.83</v>
      </c>
      <c r="G114" s="7">
        <v>-1.6199999999999999E-2</v>
      </c>
    </row>
    <row r="115" spans="2:7" x14ac:dyDescent="0.3">
      <c r="B115" s="12">
        <v>42738</v>
      </c>
      <c r="C115" s="6">
        <v>7322.92</v>
      </c>
      <c r="D115" s="6">
        <v>7263.44</v>
      </c>
      <c r="E115" s="6">
        <v>7447</v>
      </c>
      <c r="F115" s="6">
        <v>7255.78</v>
      </c>
      <c r="G115" s="7">
        <v>8.2000000000000007E-3</v>
      </c>
    </row>
    <row r="116" spans="2:7" x14ac:dyDescent="0.3">
      <c r="B116" s="12">
        <v>42737</v>
      </c>
      <c r="C116" s="6">
        <v>7263.44</v>
      </c>
      <c r="D116" s="6">
        <v>7099.15</v>
      </c>
      <c r="E116" s="6">
        <v>7329.56</v>
      </c>
      <c r="F116" s="6">
        <v>7093.57</v>
      </c>
      <c r="G116" s="7">
        <v>2.3099999999999999E-2</v>
      </c>
    </row>
    <row r="117" spans="2:7" x14ac:dyDescent="0.3">
      <c r="B117" s="12">
        <v>42736</v>
      </c>
      <c r="C117" s="6">
        <v>7099.15</v>
      </c>
      <c r="D117" s="6">
        <v>7142.83</v>
      </c>
      <c r="E117" s="6">
        <v>7354.14</v>
      </c>
      <c r="F117" s="6">
        <v>7099.15</v>
      </c>
      <c r="G117" s="7">
        <v>-6.1000000000000004E-3</v>
      </c>
    </row>
    <row r="118" spans="2:7" x14ac:dyDescent="0.3">
      <c r="B118" s="12">
        <v>42381</v>
      </c>
      <c r="C118" s="6">
        <v>7142.83</v>
      </c>
      <c r="D118" s="6">
        <v>6783.79</v>
      </c>
      <c r="E118" s="6">
        <v>7142.83</v>
      </c>
      <c r="F118" s="6">
        <v>6678.74</v>
      </c>
      <c r="G118" s="7">
        <v>5.2900000000000003E-2</v>
      </c>
    </row>
    <row r="119" spans="2:7" x14ac:dyDescent="0.3">
      <c r="B119" s="12">
        <v>42380</v>
      </c>
      <c r="C119" s="6">
        <v>6783.79</v>
      </c>
      <c r="D119" s="6">
        <v>6954.22</v>
      </c>
      <c r="E119" s="6">
        <v>6997.25</v>
      </c>
      <c r="F119" s="6">
        <v>6676.56</v>
      </c>
      <c r="G119" s="7">
        <v>-2.4500000000000001E-2</v>
      </c>
    </row>
    <row r="120" spans="2:7" x14ac:dyDescent="0.3">
      <c r="B120" s="12">
        <v>42379</v>
      </c>
      <c r="C120" s="6">
        <v>6954.22</v>
      </c>
      <c r="D120" s="6">
        <v>6899.33</v>
      </c>
      <c r="E120" s="6">
        <v>7129.83</v>
      </c>
      <c r="F120" s="6">
        <v>6898.09</v>
      </c>
      <c r="G120" s="7">
        <v>8.0000000000000002E-3</v>
      </c>
    </row>
    <row r="121" spans="2:7" x14ac:dyDescent="0.3">
      <c r="B121" s="12">
        <v>42378</v>
      </c>
      <c r="C121" s="6">
        <v>6899.33</v>
      </c>
      <c r="D121" s="6">
        <v>6781.51</v>
      </c>
      <c r="E121" s="6">
        <v>6941.09</v>
      </c>
      <c r="F121" s="6">
        <v>6654.48</v>
      </c>
      <c r="G121" s="7">
        <v>1.7399999999999999E-2</v>
      </c>
    </row>
    <row r="122" spans="2:7" x14ac:dyDescent="0.3">
      <c r="B122" s="12">
        <v>42377</v>
      </c>
      <c r="C122" s="6">
        <v>6781.51</v>
      </c>
      <c r="D122" s="6">
        <v>6724.43</v>
      </c>
      <c r="E122" s="6">
        <v>6955.34</v>
      </c>
      <c r="F122" s="6">
        <v>6615.83</v>
      </c>
      <c r="G122" s="7">
        <v>8.5000000000000006E-3</v>
      </c>
    </row>
    <row r="123" spans="2:7" x14ac:dyDescent="0.3">
      <c r="B123" s="12">
        <v>42376</v>
      </c>
      <c r="C123" s="6">
        <v>6724.43</v>
      </c>
      <c r="D123" s="6">
        <v>6504.33</v>
      </c>
      <c r="E123" s="6">
        <v>6780.05</v>
      </c>
      <c r="F123" s="6">
        <v>6432.47</v>
      </c>
      <c r="G123" s="7">
        <v>3.3799999999999997E-2</v>
      </c>
    </row>
    <row r="124" spans="2:7" x14ac:dyDescent="0.3">
      <c r="B124" s="12">
        <v>42375</v>
      </c>
      <c r="C124" s="6">
        <v>6504.33</v>
      </c>
      <c r="D124" s="6">
        <v>6230.79</v>
      </c>
      <c r="E124" s="6">
        <v>6504.33</v>
      </c>
      <c r="F124" s="6">
        <v>5788.74</v>
      </c>
      <c r="G124" s="7">
        <v>4.3900000000000002E-2</v>
      </c>
    </row>
    <row r="125" spans="2:7" x14ac:dyDescent="0.3">
      <c r="B125" s="12">
        <v>42374</v>
      </c>
      <c r="C125" s="6">
        <v>6230.79</v>
      </c>
      <c r="D125" s="6">
        <v>6241.89</v>
      </c>
      <c r="E125" s="6">
        <v>6290.07</v>
      </c>
      <c r="F125" s="6">
        <v>6050.21</v>
      </c>
      <c r="G125" s="7">
        <v>-1.8E-3</v>
      </c>
    </row>
    <row r="126" spans="2:7" x14ac:dyDescent="0.3">
      <c r="B126" s="12">
        <v>42373</v>
      </c>
      <c r="C126" s="6">
        <v>6241.89</v>
      </c>
      <c r="D126" s="6">
        <v>6174.9</v>
      </c>
      <c r="E126" s="6">
        <v>6427.32</v>
      </c>
      <c r="F126" s="6">
        <v>6061.85</v>
      </c>
      <c r="G126" s="7">
        <v>1.0800000000000001E-2</v>
      </c>
    </row>
    <row r="127" spans="2:7" x14ac:dyDescent="0.3">
      <c r="B127" s="12">
        <v>42372</v>
      </c>
      <c r="C127" s="6">
        <v>6174.9</v>
      </c>
      <c r="D127" s="6">
        <v>6097.09</v>
      </c>
      <c r="E127" s="6">
        <v>6237.02</v>
      </c>
      <c r="F127" s="6">
        <v>6036.7</v>
      </c>
      <c r="G127" s="7">
        <v>1.2800000000000001E-2</v>
      </c>
    </row>
    <row r="128" spans="2:7" x14ac:dyDescent="0.3">
      <c r="B128" s="12">
        <v>42371</v>
      </c>
      <c r="C128" s="6">
        <v>6097.09</v>
      </c>
      <c r="D128" s="6">
        <v>6083.79</v>
      </c>
      <c r="E128" s="6">
        <v>6115.37</v>
      </c>
      <c r="F128" s="6">
        <v>5499.51</v>
      </c>
      <c r="G128" s="7">
        <v>2.2000000000000001E-3</v>
      </c>
    </row>
    <row r="129" spans="2:7" x14ac:dyDescent="0.3">
      <c r="B129" s="12">
        <v>42370</v>
      </c>
      <c r="C129" s="6">
        <v>6083.79</v>
      </c>
      <c r="D129" s="6">
        <v>6242.32</v>
      </c>
      <c r="E129" s="6">
        <v>6242.32</v>
      </c>
      <c r="F129" s="6">
        <v>5639.88</v>
      </c>
      <c r="G129" s="7">
        <v>-2.5399999999999999E-2</v>
      </c>
    </row>
    <row r="130" spans="2:7" x14ac:dyDescent="0.3">
      <c r="B130" s="12">
        <v>42016</v>
      </c>
      <c r="C130" s="6">
        <v>6242.32</v>
      </c>
      <c r="D130" s="6">
        <v>6356.09</v>
      </c>
      <c r="E130" s="6">
        <v>6447.34</v>
      </c>
      <c r="F130" s="6">
        <v>5871.88</v>
      </c>
      <c r="G130" s="7">
        <v>-1.7899999999999999E-2</v>
      </c>
    </row>
    <row r="131" spans="2:7" x14ac:dyDescent="0.3">
      <c r="B131" s="12">
        <v>42015</v>
      </c>
      <c r="C131" s="6">
        <v>6356.09</v>
      </c>
      <c r="D131" s="6">
        <v>6361.09</v>
      </c>
      <c r="E131" s="6">
        <v>6459.46</v>
      </c>
      <c r="F131" s="6">
        <v>6079.79</v>
      </c>
      <c r="G131" s="7">
        <v>-8.0000000000000004E-4</v>
      </c>
    </row>
    <row r="132" spans="2:7" x14ac:dyDescent="0.3">
      <c r="B132" s="12">
        <v>42014</v>
      </c>
      <c r="C132" s="6">
        <v>6361.09</v>
      </c>
      <c r="D132" s="6">
        <v>6061.61</v>
      </c>
      <c r="E132" s="6">
        <v>6487.89</v>
      </c>
      <c r="F132" s="6">
        <v>6051.62</v>
      </c>
      <c r="G132" s="7">
        <v>4.9399999999999999E-2</v>
      </c>
    </row>
    <row r="133" spans="2:7" x14ac:dyDescent="0.3">
      <c r="B133" s="12">
        <v>42013</v>
      </c>
      <c r="C133" s="6">
        <v>6061.61</v>
      </c>
      <c r="D133" s="6">
        <v>6247.94</v>
      </c>
      <c r="E133" s="6">
        <v>6284.17</v>
      </c>
      <c r="F133" s="6">
        <v>5877.08</v>
      </c>
      <c r="G133" s="7">
        <v>-2.98E-2</v>
      </c>
    </row>
    <row r="134" spans="2:7" x14ac:dyDescent="0.3">
      <c r="B134" s="12">
        <v>42012</v>
      </c>
      <c r="C134" s="6">
        <v>6247.94</v>
      </c>
      <c r="D134" s="6">
        <v>6696.28</v>
      </c>
      <c r="E134" s="6">
        <v>6764.82</v>
      </c>
      <c r="F134" s="6">
        <v>5768.22</v>
      </c>
      <c r="G134" s="7">
        <v>-6.7000000000000004E-2</v>
      </c>
    </row>
    <row r="135" spans="2:7" x14ac:dyDescent="0.3">
      <c r="B135" s="12">
        <v>42011</v>
      </c>
      <c r="C135" s="6">
        <v>6696.28</v>
      </c>
      <c r="D135" s="6">
        <v>6520.98</v>
      </c>
      <c r="E135" s="6">
        <v>6813.41</v>
      </c>
      <c r="F135" s="6">
        <v>6430.36</v>
      </c>
      <c r="G135" s="7">
        <v>2.69E-2</v>
      </c>
    </row>
    <row r="136" spans="2:7" x14ac:dyDescent="0.3">
      <c r="B136" s="12">
        <v>42010</v>
      </c>
      <c r="C136" s="6">
        <v>6520.98</v>
      </c>
      <c r="D136" s="6">
        <v>6984.43</v>
      </c>
      <c r="E136" s="6">
        <v>7037.58</v>
      </c>
      <c r="F136" s="6">
        <v>6520.98</v>
      </c>
      <c r="G136" s="7">
        <v>-6.6400000000000001E-2</v>
      </c>
    </row>
    <row r="137" spans="2:7" x14ac:dyDescent="0.3">
      <c r="B137" s="12">
        <v>42009</v>
      </c>
      <c r="C137" s="6">
        <v>6984.43</v>
      </c>
      <c r="D137" s="6">
        <v>6960.63</v>
      </c>
      <c r="E137" s="6">
        <v>7083.72</v>
      </c>
      <c r="F137" s="6">
        <v>6810.05</v>
      </c>
      <c r="G137" s="7">
        <v>3.3999999999999998E-3</v>
      </c>
    </row>
    <row r="138" spans="2:7" x14ac:dyDescent="0.3">
      <c r="B138" s="12">
        <v>42008</v>
      </c>
      <c r="C138" s="6">
        <v>6960.63</v>
      </c>
      <c r="D138" s="6">
        <v>6773.04</v>
      </c>
      <c r="E138" s="6">
        <v>7122.74</v>
      </c>
      <c r="F138" s="6">
        <v>6765.4</v>
      </c>
      <c r="G138" s="7">
        <v>2.7699999999999999E-2</v>
      </c>
    </row>
    <row r="139" spans="2:7" x14ac:dyDescent="0.3">
      <c r="B139" s="12">
        <v>42007</v>
      </c>
      <c r="C139" s="6">
        <v>6773.04</v>
      </c>
      <c r="D139" s="6">
        <v>6946.66</v>
      </c>
      <c r="E139" s="6">
        <v>7065.08</v>
      </c>
      <c r="F139" s="6">
        <v>6693.8</v>
      </c>
      <c r="G139" s="7">
        <v>-2.5000000000000001E-2</v>
      </c>
    </row>
    <row r="140" spans="2:7" x14ac:dyDescent="0.3">
      <c r="B140" s="12">
        <v>42006</v>
      </c>
      <c r="C140" s="6">
        <v>6946.66</v>
      </c>
      <c r="D140" s="6">
        <v>6749.4</v>
      </c>
      <c r="E140" s="6">
        <v>6967.24</v>
      </c>
      <c r="F140" s="6">
        <v>6731.99</v>
      </c>
      <c r="G140" s="7">
        <v>2.92E-2</v>
      </c>
    </row>
    <row r="141" spans="2:7" x14ac:dyDescent="0.3">
      <c r="B141" s="12">
        <v>42005</v>
      </c>
      <c r="C141" s="6">
        <v>6749.4</v>
      </c>
      <c r="D141" s="6">
        <v>6566.09</v>
      </c>
      <c r="E141" s="6">
        <v>6864.97</v>
      </c>
      <c r="F141" s="6">
        <v>6298.15</v>
      </c>
      <c r="G141" s="7">
        <v>2.7900000000000001E-2</v>
      </c>
    </row>
    <row r="142" spans="2:7" x14ac:dyDescent="0.3">
      <c r="B142" s="12">
        <v>41651</v>
      </c>
      <c r="C142" s="6">
        <v>6566.09</v>
      </c>
      <c r="D142" s="6">
        <v>6722.62</v>
      </c>
      <c r="E142" s="6">
        <v>6753.19</v>
      </c>
      <c r="F142" s="6">
        <v>6144.72</v>
      </c>
      <c r="G142" s="7">
        <v>-2.3300000000000001E-2</v>
      </c>
    </row>
    <row r="143" spans="2:7" x14ac:dyDescent="0.3">
      <c r="B143" s="12">
        <v>41650</v>
      </c>
      <c r="C143" s="6">
        <v>6722.62</v>
      </c>
      <c r="D143" s="6">
        <v>6546.47</v>
      </c>
      <c r="E143" s="6">
        <v>6773.14</v>
      </c>
      <c r="F143" s="6">
        <v>6444.89</v>
      </c>
      <c r="G143" s="7">
        <v>2.69E-2</v>
      </c>
    </row>
    <row r="144" spans="2:7" x14ac:dyDescent="0.3">
      <c r="B144" s="12">
        <v>41649</v>
      </c>
      <c r="C144" s="6">
        <v>6546.47</v>
      </c>
      <c r="D144" s="6">
        <v>6622.72</v>
      </c>
      <c r="E144" s="6">
        <v>6622.81</v>
      </c>
      <c r="F144" s="6">
        <v>6072.68</v>
      </c>
      <c r="G144" s="7">
        <v>-1.15E-2</v>
      </c>
    </row>
    <row r="145" spans="2:7" x14ac:dyDescent="0.3">
      <c r="B145" s="12">
        <v>41648</v>
      </c>
      <c r="C145" s="6">
        <v>6622.72</v>
      </c>
      <c r="D145" s="6">
        <v>6819.75</v>
      </c>
      <c r="E145" s="6">
        <v>6904.86</v>
      </c>
      <c r="F145" s="6">
        <v>6601.62</v>
      </c>
      <c r="G145" s="7">
        <v>-2.8899999999999999E-2</v>
      </c>
    </row>
    <row r="146" spans="2:7" x14ac:dyDescent="0.3">
      <c r="B146" s="12">
        <v>41647</v>
      </c>
      <c r="C146" s="6">
        <v>6819.75</v>
      </c>
      <c r="D146" s="6">
        <v>6730.11</v>
      </c>
      <c r="E146" s="6">
        <v>6831.19</v>
      </c>
      <c r="F146" s="6">
        <v>6528.73</v>
      </c>
      <c r="G146" s="7">
        <v>1.3299999999999999E-2</v>
      </c>
    </row>
    <row r="147" spans="2:7" x14ac:dyDescent="0.3">
      <c r="B147" s="12">
        <v>41646</v>
      </c>
      <c r="C147" s="6">
        <v>6730.11</v>
      </c>
      <c r="D147" s="6">
        <v>6743.94</v>
      </c>
      <c r="E147" s="6">
        <v>6875.31</v>
      </c>
      <c r="F147" s="6">
        <v>6643.62</v>
      </c>
      <c r="G147" s="7">
        <v>-2.0999999999999999E-3</v>
      </c>
    </row>
    <row r="148" spans="2:7" x14ac:dyDescent="0.3">
      <c r="B148" s="12">
        <v>41645</v>
      </c>
      <c r="C148" s="6">
        <v>6743.94</v>
      </c>
      <c r="D148" s="6">
        <v>6844.51</v>
      </c>
      <c r="E148" s="6">
        <v>6878.96</v>
      </c>
      <c r="F148" s="6">
        <v>6701.59</v>
      </c>
      <c r="G148" s="7">
        <v>-1.47E-2</v>
      </c>
    </row>
    <row r="149" spans="2:7" x14ac:dyDescent="0.3">
      <c r="B149" s="12">
        <v>41644</v>
      </c>
      <c r="C149" s="6">
        <v>6844.51</v>
      </c>
      <c r="D149" s="6">
        <v>6780.03</v>
      </c>
      <c r="E149" s="6">
        <v>6894.88</v>
      </c>
      <c r="F149" s="6">
        <v>6766.84</v>
      </c>
      <c r="G149" s="7">
        <v>9.4999999999999998E-3</v>
      </c>
    </row>
    <row r="150" spans="2:7" x14ac:dyDescent="0.3">
      <c r="B150" s="12">
        <v>41643</v>
      </c>
      <c r="C150" s="6">
        <v>6780.03</v>
      </c>
      <c r="D150" s="6">
        <v>6598.37</v>
      </c>
      <c r="E150" s="6">
        <v>6794.88</v>
      </c>
      <c r="F150" s="6">
        <v>6507.08</v>
      </c>
      <c r="G150" s="7">
        <v>2.75E-2</v>
      </c>
    </row>
    <row r="151" spans="2:7" x14ac:dyDescent="0.3">
      <c r="B151" s="12">
        <v>41642</v>
      </c>
      <c r="C151" s="6">
        <v>6598.37</v>
      </c>
      <c r="D151" s="6">
        <v>6809.7</v>
      </c>
      <c r="E151" s="6">
        <v>6827.22</v>
      </c>
      <c r="F151" s="6">
        <v>6492.62</v>
      </c>
      <c r="G151" s="7">
        <v>-3.1E-2</v>
      </c>
    </row>
    <row r="152" spans="2:7" x14ac:dyDescent="0.3">
      <c r="B152" s="12">
        <v>41641</v>
      </c>
      <c r="C152" s="6">
        <v>6809.7</v>
      </c>
      <c r="D152" s="6">
        <v>6510.44</v>
      </c>
      <c r="E152" s="6">
        <v>6866.35</v>
      </c>
      <c r="F152" s="6">
        <v>6416.72</v>
      </c>
      <c r="G152" s="7">
        <v>4.5999999999999999E-2</v>
      </c>
    </row>
    <row r="153" spans="2:7" x14ac:dyDescent="0.3">
      <c r="B153" s="12">
        <v>41640</v>
      </c>
      <c r="C153" s="6">
        <v>6510.44</v>
      </c>
      <c r="D153" s="6">
        <v>6749.09</v>
      </c>
      <c r="E153" s="6">
        <v>6867.42</v>
      </c>
      <c r="F153" s="6">
        <v>6421.26</v>
      </c>
      <c r="G153" s="7">
        <v>-3.5400000000000001E-2</v>
      </c>
    </row>
    <row r="154" spans="2:7" x14ac:dyDescent="0.3">
      <c r="B154" s="12">
        <v>41286</v>
      </c>
      <c r="C154" s="6">
        <v>6749.09</v>
      </c>
      <c r="D154" s="6">
        <v>6650.57</v>
      </c>
      <c r="E154" s="6">
        <v>6768.44</v>
      </c>
      <c r="F154" s="6">
        <v>6422.23</v>
      </c>
      <c r="G154" s="7">
        <v>1.4800000000000001E-2</v>
      </c>
    </row>
    <row r="155" spans="2:7" x14ac:dyDescent="0.3">
      <c r="B155" s="12">
        <v>41285</v>
      </c>
      <c r="C155" s="6">
        <v>6650.57</v>
      </c>
      <c r="D155" s="6">
        <v>6731.43</v>
      </c>
      <c r="E155" s="6">
        <v>6780.11</v>
      </c>
      <c r="F155" s="6">
        <v>6613.98</v>
      </c>
      <c r="G155" s="7">
        <v>-1.2E-2</v>
      </c>
    </row>
    <row r="156" spans="2:7" x14ac:dyDescent="0.3">
      <c r="B156" s="12">
        <v>41284</v>
      </c>
      <c r="C156" s="6">
        <v>6731.43</v>
      </c>
      <c r="D156" s="6">
        <v>6462.22</v>
      </c>
      <c r="E156" s="6">
        <v>6819.86</v>
      </c>
      <c r="F156" s="6">
        <v>6316.91</v>
      </c>
      <c r="G156" s="7">
        <v>4.1700000000000001E-2</v>
      </c>
    </row>
    <row r="157" spans="2:7" x14ac:dyDescent="0.3">
      <c r="B157" s="12">
        <v>41283</v>
      </c>
      <c r="C157" s="6">
        <v>6462.22</v>
      </c>
      <c r="D157" s="6">
        <v>6412.93</v>
      </c>
      <c r="E157" s="6">
        <v>6659.12</v>
      </c>
      <c r="F157" s="6">
        <v>6412.93</v>
      </c>
      <c r="G157" s="7">
        <v>7.7000000000000002E-3</v>
      </c>
    </row>
    <row r="158" spans="2:7" x14ac:dyDescent="0.3">
      <c r="B158" s="12">
        <v>41282</v>
      </c>
      <c r="C158" s="6">
        <v>6412.93</v>
      </c>
      <c r="D158" s="6">
        <v>6621.06</v>
      </c>
      <c r="E158" s="6">
        <v>6696.63</v>
      </c>
      <c r="F158" s="6">
        <v>6386.72</v>
      </c>
      <c r="G158" s="7">
        <v>-3.1399999999999997E-2</v>
      </c>
    </row>
    <row r="159" spans="2:7" x14ac:dyDescent="0.3">
      <c r="B159" s="12">
        <v>41281</v>
      </c>
      <c r="C159" s="6">
        <v>6621.06</v>
      </c>
      <c r="D159" s="6">
        <v>6215.47</v>
      </c>
      <c r="E159" s="6">
        <v>6662.19</v>
      </c>
      <c r="F159" s="6">
        <v>6185.21</v>
      </c>
      <c r="G159" s="7">
        <v>6.5299999999999997E-2</v>
      </c>
    </row>
    <row r="160" spans="2:7" x14ac:dyDescent="0.3">
      <c r="B160" s="12">
        <v>41280</v>
      </c>
      <c r="C160" s="6">
        <v>6215.47</v>
      </c>
      <c r="D160" s="6">
        <v>6583.09</v>
      </c>
      <c r="E160" s="6">
        <v>6583.09</v>
      </c>
      <c r="F160" s="6">
        <v>6023.44</v>
      </c>
      <c r="G160" s="7">
        <v>-5.5800000000000002E-2</v>
      </c>
    </row>
    <row r="161" spans="2:7" x14ac:dyDescent="0.3">
      <c r="B161" s="12">
        <v>41279</v>
      </c>
      <c r="C161" s="6">
        <v>6583.09</v>
      </c>
      <c r="D161" s="6">
        <v>6430.12</v>
      </c>
      <c r="E161" s="6">
        <v>6875.62</v>
      </c>
      <c r="F161" s="6">
        <v>6409.81</v>
      </c>
      <c r="G161" s="7">
        <v>2.3800000000000002E-2</v>
      </c>
    </row>
    <row r="162" spans="2:7" x14ac:dyDescent="0.3">
      <c r="B162" s="12">
        <v>41278</v>
      </c>
      <c r="C162" s="6">
        <v>6430.12</v>
      </c>
      <c r="D162" s="6">
        <v>6411.74</v>
      </c>
      <c r="E162" s="6">
        <v>6501.78</v>
      </c>
      <c r="F162" s="6">
        <v>6214.36</v>
      </c>
      <c r="G162" s="7">
        <v>2.8999999999999998E-3</v>
      </c>
    </row>
    <row r="163" spans="2:7" x14ac:dyDescent="0.3">
      <c r="B163" s="12">
        <v>41277</v>
      </c>
      <c r="C163" s="6">
        <v>6411.74</v>
      </c>
      <c r="D163" s="6">
        <v>6360.81</v>
      </c>
      <c r="E163" s="6">
        <v>6533.99</v>
      </c>
      <c r="F163" s="6">
        <v>6308.56</v>
      </c>
      <c r="G163" s="7">
        <v>8.0000000000000002E-3</v>
      </c>
    </row>
    <row r="164" spans="2:7" x14ac:dyDescent="0.3">
      <c r="B164" s="12">
        <v>41276</v>
      </c>
      <c r="C164" s="6">
        <v>6360.81</v>
      </c>
      <c r="D164" s="6">
        <v>6276.88</v>
      </c>
      <c r="E164" s="6">
        <v>6412.44</v>
      </c>
      <c r="F164" s="6">
        <v>6216.72</v>
      </c>
      <c r="G164" s="7">
        <v>1.34E-2</v>
      </c>
    </row>
    <row r="165" spans="2:7" x14ac:dyDescent="0.3">
      <c r="B165" s="12">
        <v>41275</v>
      </c>
      <c r="C165" s="6">
        <v>6276.88</v>
      </c>
      <c r="D165" s="6">
        <v>5897.81</v>
      </c>
      <c r="E165" s="6">
        <v>6354.46</v>
      </c>
      <c r="F165" s="6">
        <v>5897.81</v>
      </c>
      <c r="G165" s="7">
        <v>6.4299999999999996E-2</v>
      </c>
    </row>
    <row r="166" spans="2:7" x14ac:dyDescent="0.3">
      <c r="B166" s="12">
        <v>40920</v>
      </c>
      <c r="C166" s="6">
        <v>5897.81</v>
      </c>
      <c r="D166" s="6">
        <v>5866.82</v>
      </c>
      <c r="E166" s="6">
        <v>5997.04</v>
      </c>
      <c r="F166" s="6">
        <v>5852.88</v>
      </c>
      <c r="G166" s="7">
        <v>5.3E-3</v>
      </c>
    </row>
    <row r="167" spans="2:7" x14ac:dyDescent="0.3">
      <c r="B167" s="12">
        <v>40919</v>
      </c>
      <c r="C167" s="6">
        <v>5866.82</v>
      </c>
      <c r="D167" s="6">
        <v>5782.7</v>
      </c>
      <c r="E167" s="6">
        <v>5921.78</v>
      </c>
      <c r="F167" s="6">
        <v>5605.59</v>
      </c>
      <c r="G167" s="7">
        <v>1.4500000000000001E-2</v>
      </c>
    </row>
    <row r="168" spans="2:7" x14ac:dyDescent="0.3">
      <c r="B168" s="12">
        <v>40918</v>
      </c>
      <c r="C168" s="6">
        <v>5782.7</v>
      </c>
      <c r="D168" s="6">
        <v>5742.07</v>
      </c>
      <c r="E168" s="6">
        <v>5928.27</v>
      </c>
      <c r="F168" s="6">
        <v>5738.59</v>
      </c>
      <c r="G168" s="7">
        <v>7.1000000000000004E-3</v>
      </c>
    </row>
    <row r="169" spans="2:7" x14ac:dyDescent="0.3">
      <c r="B169" s="12">
        <v>40917</v>
      </c>
      <c r="C169" s="6">
        <v>5742.07</v>
      </c>
      <c r="D169" s="6">
        <v>5711.48</v>
      </c>
      <c r="E169" s="6">
        <v>5932.62</v>
      </c>
      <c r="F169" s="6">
        <v>5634.88</v>
      </c>
      <c r="G169" s="7">
        <v>5.4000000000000003E-3</v>
      </c>
    </row>
    <row r="170" spans="2:7" x14ac:dyDescent="0.3">
      <c r="B170" s="12">
        <v>40916</v>
      </c>
      <c r="C170" s="6">
        <v>5711.48</v>
      </c>
      <c r="D170" s="6">
        <v>5635.28</v>
      </c>
      <c r="E170" s="6">
        <v>5876.22</v>
      </c>
      <c r="F170" s="6">
        <v>5632.97</v>
      </c>
      <c r="G170" s="7">
        <v>1.35E-2</v>
      </c>
    </row>
    <row r="171" spans="2:7" x14ac:dyDescent="0.3">
      <c r="B171" s="12">
        <v>40915</v>
      </c>
      <c r="C171" s="6">
        <v>5635.28</v>
      </c>
      <c r="D171" s="6">
        <v>5571.15</v>
      </c>
      <c r="E171" s="6">
        <v>5727.45</v>
      </c>
      <c r="F171" s="6">
        <v>5478.02</v>
      </c>
      <c r="G171" s="7">
        <v>1.15E-2</v>
      </c>
    </row>
    <row r="172" spans="2:7" x14ac:dyDescent="0.3">
      <c r="B172" s="12">
        <v>40914</v>
      </c>
      <c r="C172" s="6">
        <v>5571.15</v>
      </c>
      <c r="D172" s="6">
        <v>5320.86</v>
      </c>
      <c r="E172" s="6">
        <v>5623.85</v>
      </c>
      <c r="F172" s="6">
        <v>5229.76</v>
      </c>
      <c r="G172" s="7">
        <v>4.7E-2</v>
      </c>
    </row>
    <row r="173" spans="2:7" x14ac:dyDescent="0.3">
      <c r="B173" s="12">
        <v>40913</v>
      </c>
      <c r="C173" s="6">
        <v>5320.86</v>
      </c>
      <c r="D173" s="6">
        <v>5737.78</v>
      </c>
      <c r="E173" s="6">
        <v>5819.93</v>
      </c>
      <c r="F173" s="6">
        <v>5253.92</v>
      </c>
      <c r="G173" s="7">
        <v>-7.2700000000000001E-2</v>
      </c>
    </row>
    <row r="174" spans="2:7" x14ac:dyDescent="0.3">
      <c r="B174" s="12">
        <v>40912</v>
      </c>
      <c r="C174" s="6">
        <v>5737.78</v>
      </c>
      <c r="D174" s="6">
        <v>5768.45</v>
      </c>
      <c r="E174" s="6">
        <v>5890.16</v>
      </c>
      <c r="F174" s="6">
        <v>5576.37</v>
      </c>
      <c r="G174" s="7">
        <v>-5.3E-3</v>
      </c>
    </row>
    <row r="175" spans="2:7" x14ac:dyDescent="0.3">
      <c r="B175" s="12">
        <v>40911</v>
      </c>
      <c r="C175" s="6">
        <v>5768.45</v>
      </c>
      <c r="D175" s="6">
        <v>5871.51</v>
      </c>
      <c r="E175" s="6">
        <v>5989.07</v>
      </c>
      <c r="F175" s="6">
        <v>5726.5</v>
      </c>
      <c r="G175" s="7">
        <v>-1.7600000000000001E-2</v>
      </c>
    </row>
    <row r="176" spans="2:7" x14ac:dyDescent="0.3">
      <c r="B176" s="12">
        <v>40910</v>
      </c>
      <c r="C176" s="6">
        <v>5871.51</v>
      </c>
      <c r="D176" s="6">
        <v>5681.61</v>
      </c>
      <c r="E176" s="6">
        <v>5964.02</v>
      </c>
      <c r="F176" s="6">
        <v>5680.67</v>
      </c>
      <c r="G176" s="7">
        <v>3.3399999999999999E-2</v>
      </c>
    </row>
    <row r="177" spans="2:7" x14ac:dyDescent="0.3">
      <c r="B177" s="12">
        <v>40909</v>
      </c>
      <c r="C177" s="6">
        <v>5681.61</v>
      </c>
      <c r="D177" s="6">
        <v>5572.28</v>
      </c>
      <c r="E177" s="6">
        <v>5806.24</v>
      </c>
      <c r="F177" s="6">
        <v>5572.28</v>
      </c>
      <c r="G177" s="7">
        <v>1.9599999999999999E-2</v>
      </c>
    </row>
    <row r="178" spans="2:7" x14ac:dyDescent="0.3">
      <c r="B178" s="12">
        <v>40555</v>
      </c>
      <c r="C178" s="6">
        <v>5572.28</v>
      </c>
      <c r="D178" s="6">
        <v>5505.42</v>
      </c>
      <c r="E178" s="6">
        <v>5631.88</v>
      </c>
      <c r="F178" s="6">
        <v>5328.67</v>
      </c>
      <c r="G178" s="7">
        <v>1.21E-2</v>
      </c>
    </row>
    <row r="179" spans="2:7" x14ac:dyDescent="0.3">
      <c r="B179" s="12">
        <v>40554</v>
      </c>
      <c r="C179" s="6">
        <v>5505.42</v>
      </c>
      <c r="D179" s="6">
        <v>5544.22</v>
      </c>
      <c r="E179" s="6">
        <v>5616</v>
      </c>
      <c r="F179" s="6">
        <v>5075.22</v>
      </c>
      <c r="G179" s="7">
        <v>-7.0000000000000001E-3</v>
      </c>
    </row>
    <row r="180" spans="2:7" x14ac:dyDescent="0.3">
      <c r="B180" s="12">
        <v>40553</v>
      </c>
      <c r="C180" s="6">
        <v>5544.22</v>
      </c>
      <c r="D180" s="6">
        <v>5128.4799999999996</v>
      </c>
      <c r="E180" s="6">
        <v>5747.33</v>
      </c>
      <c r="F180" s="6">
        <v>4868.6000000000004</v>
      </c>
      <c r="G180" s="7">
        <v>8.1100000000000005E-2</v>
      </c>
    </row>
    <row r="181" spans="2:7" x14ac:dyDescent="0.3">
      <c r="B181" s="12">
        <v>40552</v>
      </c>
      <c r="C181" s="6">
        <v>5128.4799999999996</v>
      </c>
      <c r="D181" s="6">
        <v>5394.53</v>
      </c>
      <c r="E181" s="6">
        <v>5449.67</v>
      </c>
      <c r="F181" s="6">
        <v>4928.1400000000003</v>
      </c>
      <c r="G181" s="7">
        <v>-4.9299999999999997E-2</v>
      </c>
    </row>
    <row r="182" spans="2:7" x14ac:dyDescent="0.3">
      <c r="B182" s="12">
        <v>40551</v>
      </c>
      <c r="C182" s="6">
        <v>5394.53</v>
      </c>
      <c r="D182" s="6">
        <v>5815.19</v>
      </c>
      <c r="E182" s="6">
        <v>5913.46</v>
      </c>
      <c r="F182" s="6">
        <v>4791.01</v>
      </c>
      <c r="G182" s="7">
        <v>-7.2300000000000003E-2</v>
      </c>
    </row>
    <row r="183" spans="2:7" x14ac:dyDescent="0.3">
      <c r="B183" s="12">
        <v>40550</v>
      </c>
      <c r="C183" s="6">
        <v>5815.19</v>
      </c>
      <c r="D183" s="6">
        <v>5945.71</v>
      </c>
      <c r="E183" s="6">
        <v>6084.08</v>
      </c>
      <c r="F183" s="6">
        <v>5752.81</v>
      </c>
      <c r="G183" s="7">
        <v>-2.1999999999999999E-2</v>
      </c>
    </row>
    <row r="184" spans="2:7" x14ac:dyDescent="0.3">
      <c r="B184" s="12">
        <v>40549</v>
      </c>
      <c r="C184" s="6">
        <v>5945.71</v>
      </c>
      <c r="D184" s="6">
        <v>5989.99</v>
      </c>
      <c r="E184" s="6">
        <v>5995.22</v>
      </c>
      <c r="F184" s="6">
        <v>5644.38</v>
      </c>
      <c r="G184" s="7">
        <v>-7.4000000000000003E-3</v>
      </c>
    </row>
    <row r="185" spans="2:7" x14ac:dyDescent="0.3">
      <c r="B185" s="12">
        <v>40548</v>
      </c>
      <c r="C185" s="6">
        <v>5989.99</v>
      </c>
      <c r="D185" s="6">
        <v>6069.9</v>
      </c>
      <c r="E185" s="6">
        <v>6103.73</v>
      </c>
      <c r="F185" s="6">
        <v>5810.46</v>
      </c>
      <c r="G185" s="7">
        <v>-1.32E-2</v>
      </c>
    </row>
    <row r="186" spans="2:7" x14ac:dyDescent="0.3">
      <c r="B186" s="12">
        <v>40547</v>
      </c>
      <c r="C186" s="6">
        <v>6069.9</v>
      </c>
      <c r="D186" s="6">
        <v>5908.76</v>
      </c>
      <c r="E186" s="6">
        <v>6091.75</v>
      </c>
      <c r="F186" s="6">
        <v>5858.32</v>
      </c>
      <c r="G186" s="7">
        <v>2.7300000000000001E-2</v>
      </c>
    </row>
    <row r="187" spans="2:7" x14ac:dyDescent="0.3">
      <c r="B187" s="12">
        <v>40546</v>
      </c>
      <c r="C187" s="6">
        <v>5908.76</v>
      </c>
      <c r="D187" s="6">
        <v>5994.01</v>
      </c>
      <c r="E187" s="6">
        <v>6052.08</v>
      </c>
      <c r="F187" s="6">
        <v>5591.59</v>
      </c>
      <c r="G187" s="7">
        <v>-1.4200000000000001E-2</v>
      </c>
    </row>
    <row r="188" spans="2:7" x14ac:dyDescent="0.3">
      <c r="B188" s="12">
        <v>40545</v>
      </c>
      <c r="C188" s="6">
        <v>5994.01</v>
      </c>
      <c r="D188" s="6">
        <v>5862.94</v>
      </c>
      <c r="E188" s="6">
        <v>6105.77</v>
      </c>
      <c r="F188" s="6">
        <v>5860.95</v>
      </c>
      <c r="G188" s="7">
        <v>2.24E-2</v>
      </c>
    </row>
    <row r="189" spans="2:7" x14ac:dyDescent="0.3">
      <c r="B189" s="12">
        <v>40544</v>
      </c>
      <c r="C189" s="6">
        <v>5862.94</v>
      </c>
      <c r="D189" s="6">
        <v>5899.94</v>
      </c>
      <c r="E189" s="6">
        <v>6090.49</v>
      </c>
      <c r="F189" s="6">
        <v>5815.44</v>
      </c>
      <c r="G189" s="7">
        <v>-6.3E-3</v>
      </c>
    </row>
    <row r="190" spans="2:7" x14ac:dyDescent="0.3">
      <c r="B190" s="12">
        <v>40190</v>
      </c>
      <c r="C190" s="6">
        <v>5899.94</v>
      </c>
      <c r="D190" s="6">
        <v>5528.27</v>
      </c>
      <c r="E190" s="6">
        <v>6021.46</v>
      </c>
      <c r="F190" s="6">
        <v>5528.27</v>
      </c>
      <c r="G190" s="7">
        <v>6.7199999999999996E-2</v>
      </c>
    </row>
    <row r="191" spans="2:7" x14ac:dyDescent="0.3">
      <c r="B191" s="12">
        <v>40189</v>
      </c>
      <c r="C191" s="6">
        <v>5528.27</v>
      </c>
      <c r="D191" s="6">
        <v>5675.16</v>
      </c>
      <c r="E191" s="6">
        <v>5902.11</v>
      </c>
      <c r="F191" s="6">
        <v>5519.19</v>
      </c>
      <c r="G191" s="7">
        <v>-2.5899999999999999E-2</v>
      </c>
    </row>
    <row r="192" spans="2:7" x14ac:dyDescent="0.3">
      <c r="B192" s="12">
        <v>40188</v>
      </c>
      <c r="C192" s="6">
        <v>5675.16</v>
      </c>
      <c r="D192" s="6">
        <v>5548.62</v>
      </c>
      <c r="E192" s="6">
        <v>5794.31</v>
      </c>
      <c r="F192" s="6">
        <v>5547.55</v>
      </c>
      <c r="G192" s="7">
        <v>2.2800000000000001E-2</v>
      </c>
    </row>
    <row r="193" spans="2:7" x14ac:dyDescent="0.3">
      <c r="B193" s="12">
        <v>40187</v>
      </c>
      <c r="C193" s="6">
        <v>5548.62</v>
      </c>
      <c r="D193" s="6">
        <v>5225.22</v>
      </c>
      <c r="E193" s="6">
        <v>5650.33</v>
      </c>
      <c r="F193" s="6">
        <v>5225.22</v>
      </c>
      <c r="G193" s="7">
        <v>6.1899999999999997E-2</v>
      </c>
    </row>
    <row r="194" spans="2:7" x14ac:dyDescent="0.3">
      <c r="B194" s="12">
        <v>40186</v>
      </c>
      <c r="C194" s="6">
        <v>5225.22</v>
      </c>
      <c r="D194" s="6">
        <v>5258.02</v>
      </c>
      <c r="E194" s="6">
        <v>5418.58</v>
      </c>
      <c r="F194" s="6">
        <v>5070.9399999999996</v>
      </c>
      <c r="G194" s="7">
        <v>-6.1999999999999998E-3</v>
      </c>
    </row>
    <row r="195" spans="2:7" x14ac:dyDescent="0.3">
      <c r="B195" s="12">
        <v>40185</v>
      </c>
      <c r="C195" s="6">
        <v>5258.02</v>
      </c>
      <c r="D195" s="6">
        <v>4916.87</v>
      </c>
      <c r="E195" s="6">
        <v>5411.45</v>
      </c>
      <c r="F195" s="6">
        <v>4790.04</v>
      </c>
      <c r="G195" s="7">
        <v>6.9400000000000003E-2</v>
      </c>
    </row>
    <row r="196" spans="2:7" x14ac:dyDescent="0.3">
      <c r="B196" s="12">
        <v>40184</v>
      </c>
      <c r="C196" s="6">
        <v>4916.87</v>
      </c>
      <c r="D196" s="6">
        <v>5188.43</v>
      </c>
      <c r="E196" s="6">
        <v>5331.46</v>
      </c>
      <c r="F196" s="6">
        <v>4898.51</v>
      </c>
      <c r="G196" s="7">
        <v>-5.2299999999999999E-2</v>
      </c>
    </row>
    <row r="197" spans="2:7" x14ac:dyDescent="0.3">
      <c r="B197" s="12">
        <v>40183</v>
      </c>
      <c r="C197" s="6">
        <v>5188.43</v>
      </c>
      <c r="D197" s="6">
        <v>5553.29</v>
      </c>
      <c r="E197" s="6">
        <v>5565.99</v>
      </c>
      <c r="F197" s="6">
        <v>4898.49</v>
      </c>
      <c r="G197" s="7">
        <v>-6.5699999999999995E-2</v>
      </c>
    </row>
    <row r="198" spans="2:7" x14ac:dyDescent="0.3">
      <c r="B198" s="12">
        <v>40182</v>
      </c>
      <c r="C198" s="6">
        <v>5553.29</v>
      </c>
      <c r="D198" s="6">
        <v>5679.64</v>
      </c>
      <c r="E198" s="6">
        <v>5833.73</v>
      </c>
      <c r="F198" s="6">
        <v>5533.6</v>
      </c>
      <c r="G198" s="7">
        <v>-2.2200000000000001E-2</v>
      </c>
    </row>
    <row r="199" spans="2:7" x14ac:dyDescent="0.3">
      <c r="B199" s="12">
        <v>40181</v>
      </c>
      <c r="C199" s="6">
        <v>5679.64</v>
      </c>
      <c r="D199" s="6">
        <v>5354.52</v>
      </c>
      <c r="E199" s="6">
        <v>5742.75</v>
      </c>
      <c r="F199" s="6">
        <v>5354.52</v>
      </c>
      <c r="G199" s="7">
        <v>6.0699999999999997E-2</v>
      </c>
    </row>
    <row r="200" spans="2:7" x14ac:dyDescent="0.3">
      <c r="B200" s="12">
        <v>40180</v>
      </c>
      <c r="C200" s="6">
        <v>5354.52</v>
      </c>
      <c r="D200" s="6">
        <v>5188.5200000000004</v>
      </c>
      <c r="E200" s="6">
        <v>5395.48</v>
      </c>
      <c r="F200" s="6">
        <v>5033.01</v>
      </c>
      <c r="G200" s="7">
        <v>3.2000000000000001E-2</v>
      </c>
    </row>
    <row r="201" spans="2:7" x14ac:dyDescent="0.3">
      <c r="B201" s="12">
        <v>40179</v>
      </c>
      <c r="C201" s="6">
        <v>5188.5200000000004</v>
      </c>
      <c r="D201" s="6">
        <v>5412.88</v>
      </c>
      <c r="E201" s="6">
        <v>5600.48</v>
      </c>
      <c r="F201" s="6">
        <v>5145.74</v>
      </c>
      <c r="G201" s="7">
        <v>-4.1399999999999999E-2</v>
      </c>
    </row>
    <row r="202" spans="2:7" x14ac:dyDescent="0.3">
      <c r="B202" s="12">
        <v>39825</v>
      </c>
      <c r="C202" s="6">
        <v>5412.88</v>
      </c>
      <c r="D202" s="6">
        <v>5190.68</v>
      </c>
      <c r="E202" s="6">
        <v>5445.17</v>
      </c>
      <c r="F202" s="6">
        <v>5175.66</v>
      </c>
      <c r="G202" s="7">
        <v>4.2799999999999998E-2</v>
      </c>
    </row>
    <row r="203" spans="2:7" x14ac:dyDescent="0.3">
      <c r="B203" s="12">
        <v>39824</v>
      </c>
      <c r="C203" s="6">
        <v>5190.68</v>
      </c>
      <c r="D203" s="6">
        <v>5044.55</v>
      </c>
      <c r="E203" s="6">
        <v>5396.96</v>
      </c>
      <c r="F203" s="6">
        <v>4985.09</v>
      </c>
      <c r="G203" s="7">
        <v>2.9000000000000001E-2</v>
      </c>
    </row>
    <row r="204" spans="2:7" x14ac:dyDescent="0.3">
      <c r="B204" s="12">
        <v>39823</v>
      </c>
      <c r="C204" s="6">
        <v>5044.55</v>
      </c>
      <c r="D204" s="6">
        <v>5133.8999999999996</v>
      </c>
      <c r="E204" s="6">
        <v>5299.57</v>
      </c>
      <c r="F204" s="6">
        <v>4954.9799999999996</v>
      </c>
      <c r="G204" s="7">
        <v>-1.7399999999999999E-2</v>
      </c>
    </row>
    <row r="205" spans="2:7" x14ac:dyDescent="0.3">
      <c r="B205" s="12">
        <v>39822</v>
      </c>
      <c r="C205" s="6">
        <v>5133.8999999999996</v>
      </c>
      <c r="D205" s="6">
        <v>4908.8999999999996</v>
      </c>
      <c r="E205" s="6">
        <v>5190</v>
      </c>
      <c r="F205" s="6">
        <v>4776.5</v>
      </c>
      <c r="G205" s="7">
        <v>4.58E-2</v>
      </c>
    </row>
    <row r="206" spans="2:7" x14ac:dyDescent="0.3">
      <c r="B206" s="12">
        <v>39821</v>
      </c>
      <c r="C206" s="6">
        <v>4908.8999999999996</v>
      </c>
      <c r="D206" s="6">
        <v>4608.3599999999997</v>
      </c>
      <c r="E206" s="6">
        <v>4944.16</v>
      </c>
      <c r="F206" s="6">
        <v>4595.58</v>
      </c>
      <c r="G206" s="7">
        <v>6.5199999999999994E-2</v>
      </c>
    </row>
    <row r="207" spans="2:7" x14ac:dyDescent="0.3">
      <c r="B207" s="12">
        <v>39820</v>
      </c>
      <c r="C207" s="6">
        <v>4608.3599999999997</v>
      </c>
      <c r="D207" s="6">
        <v>4249.21</v>
      </c>
      <c r="E207" s="6">
        <v>4646.8599999999997</v>
      </c>
      <c r="F207" s="6">
        <v>4096.08</v>
      </c>
      <c r="G207" s="7">
        <v>8.4500000000000006E-2</v>
      </c>
    </row>
    <row r="208" spans="2:7" x14ac:dyDescent="0.3">
      <c r="B208" s="12">
        <v>39819</v>
      </c>
      <c r="C208" s="6">
        <v>4249.21</v>
      </c>
      <c r="D208" s="6">
        <v>4417.9399999999996</v>
      </c>
      <c r="E208" s="6">
        <v>4517.6000000000004</v>
      </c>
      <c r="F208" s="6">
        <v>4213.3999999999996</v>
      </c>
      <c r="G208" s="7">
        <v>-3.8199999999999998E-2</v>
      </c>
    </row>
    <row r="209" spans="2:7" x14ac:dyDescent="0.3">
      <c r="B209" s="12">
        <v>39818</v>
      </c>
      <c r="C209" s="6">
        <v>4417.9399999999996</v>
      </c>
      <c r="D209" s="6">
        <v>4243.71</v>
      </c>
      <c r="E209" s="6">
        <v>4520.82</v>
      </c>
      <c r="F209" s="6">
        <v>4210.75</v>
      </c>
      <c r="G209" s="7">
        <v>4.1099999999999998E-2</v>
      </c>
    </row>
    <row r="210" spans="2:7" x14ac:dyDescent="0.3">
      <c r="B210" s="12">
        <v>39817</v>
      </c>
      <c r="C210" s="6">
        <v>4243.71</v>
      </c>
      <c r="D210" s="6">
        <v>3926.14</v>
      </c>
      <c r="E210" s="6">
        <v>4293.63</v>
      </c>
      <c r="F210" s="6">
        <v>3838.22</v>
      </c>
      <c r="G210" s="7">
        <v>8.09E-2</v>
      </c>
    </row>
    <row r="211" spans="2:7" x14ac:dyDescent="0.3">
      <c r="B211" s="12">
        <v>39816</v>
      </c>
      <c r="C211" s="6">
        <v>3926.14</v>
      </c>
      <c r="D211" s="6">
        <v>3830.09</v>
      </c>
      <c r="E211" s="6">
        <v>3992.42</v>
      </c>
      <c r="F211" s="6">
        <v>3460.71</v>
      </c>
      <c r="G211" s="7">
        <v>2.5100000000000001E-2</v>
      </c>
    </row>
    <row r="212" spans="2:7" x14ac:dyDescent="0.3">
      <c r="B212" s="12">
        <v>39815</v>
      </c>
      <c r="C212" s="6">
        <v>3830.09</v>
      </c>
      <c r="D212" s="6">
        <v>4149.6400000000003</v>
      </c>
      <c r="E212" s="6">
        <v>4333.97</v>
      </c>
      <c r="F212" s="6">
        <v>3760.7</v>
      </c>
      <c r="G212" s="7">
        <v>-7.6999999999999999E-2</v>
      </c>
    </row>
    <row r="213" spans="2:7" x14ac:dyDescent="0.3">
      <c r="B213" s="12">
        <v>39814</v>
      </c>
      <c r="C213" s="6">
        <v>4149.6400000000003</v>
      </c>
      <c r="D213" s="6">
        <v>4434.17</v>
      </c>
      <c r="E213" s="6">
        <v>4675.68</v>
      </c>
      <c r="F213" s="6">
        <v>3956.67</v>
      </c>
      <c r="G213" s="7">
        <v>-6.4199999999999993E-2</v>
      </c>
    </row>
    <row r="214" spans="2:7" x14ac:dyDescent="0.3">
      <c r="B214" s="12">
        <v>39459</v>
      </c>
      <c r="C214" s="6">
        <v>4434.17</v>
      </c>
      <c r="D214" s="6">
        <v>4288.01</v>
      </c>
      <c r="E214" s="6">
        <v>4456.1899999999996</v>
      </c>
      <c r="F214" s="6">
        <v>3973.26</v>
      </c>
      <c r="G214" s="7">
        <v>3.4099999999999998E-2</v>
      </c>
    </row>
    <row r="215" spans="2:7" x14ac:dyDescent="0.3">
      <c r="B215" s="12">
        <v>39458</v>
      </c>
      <c r="C215" s="6">
        <v>4288.01</v>
      </c>
      <c r="D215" s="6">
        <v>4377.34</v>
      </c>
      <c r="E215" s="6">
        <v>4639.5</v>
      </c>
      <c r="F215" s="6">
        <v>3734.07</v>
      </c>
      <c r="G215" s="7">
        <v>-2.0400000000000001E-2</v>
      </c>
    </row>
    <row r="216" spans="2:7" x14ac:dyDescent="0.3">
      <c r="B216" s="12">
        <v>39457</v>
      </c>
      <c r="C216" s="6">
        <v>4377.34</v>
      </c>
      <c r="D216" s="6">
        <v>4902.5</v>
      </c>
      <c r="E216" s="6">
        <v>5052</v>
      </c>
      <c r="F216" s="6">
        <v>3665.21</v>
      </c>
      <c r="G216" s="7">
        <v>-0.1071</v>
      </c>
    </row>
    <row r="217" spans="2:7" x14ac:dyDescent="0.3">
      <c r="B217" s="12">
        <v>39456</v>
      </c>
      <c r="C217" s="6">
        <v>4902.45</v>
      </c>
      <c r="D217" s="6">
        <v>5636.6</v>
      </c>
      <c r="E217" s="6">
        <v>5646.5</v>
      </c>
      <c r="F217" s="6">
        <v>4671</v>
      </c>
      <c r="G217" s="7">
        <v>-0.13020000000000001</v>
      </c>
    </row>
    <row r="218" spans="2:7" x14ac:dyDescent="0.3">
      <c r="B218" s="12">
        <v>39455</v>
      </c>
      <c r="C218" s="6">
        <v>5636.61</v>
      </c>
      <c r="D218" s="6">
        <v>5411.9</v>
      </c>
      <c r="E218" s="6">
        <v>5649.1</v>
      </c>
      <c r="F218" s="6">
        <v>5299.7</v>
      </c>
      <c r="G218" s="7">
        <v>4.1500000000000002E-2</v>
      </c>
    </row>
    <row r="219" spans="2:7" x14ac:dyDescent="0.3">
      <c r="B219" s="12">
        <v>39454</v>
      </c>
      <c r="C219" s="6">
        <v>5411.9</v>
      </c>
      <c r="D219" s="6">
        <v>5625.9</v>
      </c>
      <c r="E219" s="6">
        <v>5625.9</v>
      </c>
      <c r="F219" s="6">
        <v>5071.1000000000004</v>
      </c>
      <c r="G219" s="7">
        <v>-3.7999999999999999E-2</v>
      </c>
    </row>
    <row r="220" spans="2:7" x14ac:dyDescent="0.3">
      <c r="B220" s="12">
        <v>39453</v>
      </c>
      <c r="C220" s="6">
        <v>5625.9</v>
      </c>
      <c r="D220" s="6">
        <v>6053.5</v>
      </c>
      <c r="E220" s="6">
        <v>6074.5</v>
      </c>
      <c r="F220" s="6">
        <v>5470.9</v>
      </c>
      <c r="G220" s="7">
        <v>-7.0599999999999996E-2</v>
      </c>
    </row>
    <row r="221" spans="2:7" x14ac:dyDescent="0.3">
      <c r="B221" s="12">
        <v>39452</v>
      </c>
      <c r="C221" s="6">
        <v>6053.5</v>
      </c>
      <c r="D221" s="6">
        <v>6087.3</v>
      </c>
      <c r="E221" s="6">
        <v>6377</v>
      </c>
      <c r="F221" s="6">
        <v>6041.1</v>
      </c>
      <c r="G221" s="7">
        <v>-5.5999999999999999E-3</v>
      </c>
    </row>
    <row r="222" spans="2:7" x14ac:dyDescent="0.3">
      <c r="B222" s="12">
        <v>39451</v>
      </c>
      <c r="C222" s="6">
        <v>6087.3</v>
      </c>
      <c r="D222" s="6">
        <v>5702.1</v>
      </c>
      <c r="E222" s="6">
        <v>6134.5</v>
      </c>
      <c r="F222" s="6">
        <v>5670.4</v>
      </c>
      <c r="G222" s="7">
        <v>6.7599999999999993E-2</v>
      </c>
    </row>
    <row r="223" spans="2:7" x14ac:dyDescent="0.3">
      <c r="B223" s="12">
        <v>39450</v>
      </c>
      <c r="C223" s="6">
        <v>5702.11</v>
      </c>
      <c r="D223" s="6">
        <v>5884.3</v>
      </c>
      <c r="E223" s="6">
        <v>5884.3</v>
      </c>
      <c r="F223" s="6">
        <v>5414.4</v>
      </c>
      <c r="G223" s="7">
        <v>-3.1E-2</v>
      </c>
    </row>
    <row r="224" spans="2:7" x14ac:dyDescent="0.3">
      <c r="B224" s="12">
        <v>39449</v>
      </c>
      <c r="C224" s="6">
        <v>5884.28</v>
      </c>
      <c r="D224" s="6">
        <v>5879.8</v>
      </c>
      <c r="E224" s="6">
        <v>6104.5</v>
      </c>
      <c r="F224" s="6">
        <v>5681.5</v>
      </c>
      <c r="G224" s="7">
        <v>8.0000000000000004E-4</v>
      </c>
    </row>
    <row r="225" spans="2:7" x14ac:dyDescent="0.3">
      <c r="B225" s="12">
        <v>39448</v>
      </c>
      <c r="C225" s="6">
        <v>5879.78</v>
      </c>
      <c r="D225" s="6">
        <v>6456.9</v>
      </c>
      <c r="E225" s="6">
        <v>6534.7</v>
      </c>
      <c r="F225" s="6">
        <v>5338.7</v>
      </c>
      <c r="G225" s="7">
        <v>-8.9399999999999993E-2</v>
      </c>
    </row>
    <row r="226" spans="2:7" x14ac:dyDescent="0.3">
      <c r="B226" s="12">
        <v>39094</v>
      </c>
      <c r="C226" s="6">
        <v>6456.91</v>
      </c>
      <c r="D226" s="6">
        <v>6432.5</v>
      </c>
      <c r="E226" s="6">
        <v>6610.9</v>
      </c>
      <c r="F226" s="6">
        <v>6251.8</v>
      </c>
      <c r="G226" s="7">
        <v>3.8E-3</v>
      </c>
    </row>
    <row r="227" spans="2:7" x14ac:dyDescent="0.3">
      <c r="B227" s="12">
        <v>39093</v>
      </c>
      <c r="C227" s="6">
        <v>6432.45</v>
      </c>
      <c r="D227" s="6">
        <v>6721.6</v>
      </c>
      <c r="E227" s="6">
        <v>6723.7</v>
      </c>
      <c r="F227" s="6">
        <v>6026.9</v>
      </c>
      <c r="G227" s="7">
        <v>-4.2999999999999997E-2</v>
      </c>
    </row>
    <row r="228" spans="2:7" x14ac:dyDescent="0.3">
      <c r="B228" s="12">
        <v>39092</v>
      </c>
      <c r="C228" s="6">
        <v>6721.57</v>
      </c>
      <c r="D228" s="6">
        <v>6466.8</v>
      </c>
      <c r="E228" s="6">
        <v>6751.7</v>
      </c>
      <c r="F228" s="6">
        <v>6413.4</v>
      </c>
      <c r="G228" s="7">
        <v>3.9399999999999998E-2</v>
      </c>
    </row>
    <row r="229" spans="2:7" x14ac:dyDescent="0.3">
      <c r="B229" s="12">
        <v>39091</v>
      </c>
      <c r="C229" s="6">
        <v>6466.79</v>
      </c>
      <c r="D229" s="6">
        <v>6303.3</v>
      </c>
      <c r="E229" s="6">
        <v>6512.4</v>
      </c>
      <c r="F229" s="6">
        <v>6123.1</v>
      </c>
      <c r="G229" s="7">
        <v>2.5899999999999999E-2</v>
      </c>
    </row>
    <row r="230" spans="2:7" x14ac:dyDescent="0.3">
      <c r="B230" s="12">
        <v>39090</v>
      </c>
      <c r="C230" s="6">
        <v>6303.3</v>
      </c>
      <c r="D230" s="6">
        <v>6360.1</v>
      </c>
      <c r="E230" s="6">
        <v>6406.3</v>
      </c>
      <c r="F230" s="6">
        <v>5821.7</v>
      </c>
      <c r="G230" s="7">
        <v>-8.8999999999999999E-3</v>
      </c>
    </row>
    <row r="231" spans="2:7" x14ac:dyDescent="0.3">
      <c r="B231" s="12">
        <v>39089</v>
      </c>
      <c r="C231" s="6">
        <v>6360.11</v>
      </c>
      <c r="D231" s="6">
        <v>6607.9</v>
      </c>
      <c r="E231" s="6">
        <v>6754.1</v>
      </c>
      <c r="F231" s="6">
        <v>6186.2</v>
      </c>
      <c r="G231" s="7">
        <v>-3.7499999999999999E-2</v>
      </c>
    </row>
    <row r="232" spans="2:7" x14ac:dyDescent="0.3">
      <c r="B232" s="12">
        <v>39088</v>
      </c>
      <c r="C232" s="6">
        <v>6607.9</v>
      </c>
      <c r="D232" s="6">
        <v>6621.4</v>
      </c>
      <c r="E232" s="6">
        <v>6751.3</v>
      </c>
      <c r="F232" s="6">
        <v>6451.4</v>
      </c>
      <c r="G232" s="7">
        <v>-2E-3</v>
      </c>
    </row>
    <row r="233" spans="2:7" x14ac:dyDescent="0.3">
      <c r="B233" s="12">
        <v>39087</v>
      </c>
      <c r="C233" s="6">
        <v>6621.45</v>
      </c>
      <c r="D233" s="6">
        <v>6449.2</v>
      </c>
      <c r="E233" s="6">
        <v>6675</v>
      </c>
      <c r="F233" s="6">
        <v>6395.5</v>
      </c>
      <c r="G233" s="7">
        <v>2.6700000000000002E-2</v>
      </c>
    </row>
    <row r="234" spans="2:7" x14ac:dyDescent="0.3">
      <c r="B234" s="12">
        <v>39086</v>
      </c>
      <c r="C234" s="6">
        <v>6449.21</v>
      </c>
      <c r="D234" s="6">
        <v>6308</v>
      </c>
      <c r="E234" s="6">
        <v>6516.2</v>
      </c>
      <c r="F234" s="6">
        <v>6293.9</v>
      </c>
      <c r="G234" s="7">
        <v>2.24E-2</v>
      </c>
    </row>
    <row r="235" spans="2:7" x14ac:dyDescent="0.3">
      <c r="B235" s="12">
        <v>39085</v>
      </c>
      <c r="C235" s="6">
        <v>6308.03</v>
      </c>
      <c r="D235" s="6">
        <v>6171.5</v>
      </c>
      <c r="E235" s="6">
        <v>6355.3</v>
      </c>
      <c r="F235" s="6">
        <v>5989.6</v>
      </c>
      <c r="G235" s="7">
        <v>2.2100000000000002E-2</v>
      </c>
    </row>
    <row r="236" spans="2:7" x14ac:dyDescent="0.3">
      <c r="B236" s="12">
        <v>39084</v>
      </c>
      <c r="C236" s="6">
        <v>6171.47</v>
      </c>
      <c r="D236" s="6">
        <v>6203.1</v>
      </c>
      <c r="E236" s="6">
        <v>6451.4</v>
      </c>
      <c r="F236" s="6">
        <v>6166.2</v>
      </c>
      <c r="G236" s="7">
        <v>-5.1000000000000004E-3</v>
      </c>
    </row>
    <row r="237" spans="2:7" x14ac:dyDescent="0.3">
      <c r="B237" s="12">
        <v>39083</v>
      </c>
      <c r="C237" s="6">
        <v>6203.09</v>
      </c>
      <c r="D237" s="6">
        <v>6220.8</v>
      </c>
      <c r="E237" s="6">
        <v>6335.1</v>
      </c>
      <c r="F237" s="6">
        <v>6130.2</v>
      </c>
      <c r="G237" s="7">
        <v>-2.8E-3</v>
      </c>
    </row>
    <row r="238" spans="2:7" x14ac:dyDescent="0.3">
      <c r="B238" s="12">
        <v>38729</v>
      </c>
      <c r="C238" s="6">
        <v>6220.81</v>
      </c>
      <c r="D238" s="6">
        <v>6048.8</v>
      </c>
      <c r="E238" s="6">
        <v>6271.4</v>
      </c>
      <c r="F238" s="6">
        <v>5985.2</v>
      </c>
      <c r="G238" s="7">
        <v>2.8400000000000002E-2</v>
      </c>
    </row>
    <row r="239" spans="2:7" x14ac:dyDescent="0.3">
      <c r="B239" s="12">
        <v>38728</v>
      </c>
      <c r="C239" s="6">
        <v>6048.85</v>
      </c>
      <c r="D239" s="6">
        <v>6129.2</v>
      </c>
      <c r="E239" s="6">
        <v>6256.8</v>
      </c>
      <c r="F239" s="6">
        <v>6011.8</v>
      </c>
      <c r="G239" s="7">
        <v>-1.3100000000000001E-2</v>
      </c>
    </row>
    <row r="240" spans="2:7" x14ac:dyDescent="0.3">
      <c r="B240" s="12">
        <v>38727</v>
      </c>
      <c r="C240" s="6">
        <v>6129.22</v>
      </c>
      <c r="D240" s="6">
        <v>5960.8</v>
      </c>
      <c r="E240" s="6">
        <v>6244.6</v>
      </c>
      <c r="F240" s="6">
        <v>5897.3</v>
      </c>
      <c r="G240" s="7">
        <v>2.8299999999999999E-2</v>
      </c>
    </row>
    <row r="241" spans="2:7" x14ac:dyDescent="0.3">
      <c r="B241" s="12">
        <v>38726</v>
      </c>
      <c r="C241" s="6">
        <v>5960.81</v>
      </c>
      <c r="D241" s="6">
        <v>5906.1</v>
      </c>
      <c r="E241" s="6">
        <v>6002.9</v>
      </c>
      <c r="F241" s="6">
        <v>5774.5</v>
      </c>
      <c r="G241" s="7">
        <v>9.2999999999999992E-3</v>
      </c>
    </row>
    <row r="242" spans="2:7" x14ac:dyDescent="0.3">
      <c r="B242" s="12">
        <v>38725</v>
      </c>
      <c r="C242" s="6">
        <v>5906.13</v>
      </c>
      <c r="D242" s="6">
        <v>5928.3</v>
      </c>
      <c r="E242" s="6">
        <v>5949.8</v>
      </c>
      <c r="F242" s="6">
        <v>5752.6</v>
      </c>
      <c r="G242" s="7">
        <v>-3.7000000000000002E-3</v>
      </c>
    </row>
    <row r="243" spans="2:7" x14ac:dyDescent="0.3">
      <c r="B243" s="12">
        <v>38724</v>
      </c>
      <c r="C243" s="6">
        <v>5928.33</v>
      </c>
      <c r="D243" s="6">
        <v>5833.4</v>
      </c>
      <c r="E243" s="6">
        <v>5982.5</v>
      </c>
      <c r="F243" s="6">
        <v>5654.6</v>
      </c>
      <c r="G243" s="7">
        <v>1.6299999999999999E-2</v>
      </c>
    </row>
    <row r="244" spans="2:7" x14ac:dyDescent="0.3">
      <c r="B244" s="12">
        <v>38723</v>
      </c>
      <c r="C244" s="6">
        <v>5833.42</v>
      </c>
      <c r="D244" s="6">
        <v>5723.8</v>
      </c>
      <c r="E244" s="6">
        <v>5865.7</v>
      </c>
      <c r="F244" s="6">
        <v>5467.4</v>
      </c>
      <c r="G244" s="7">
        <v>1.9099999999999999E-2</v>
      </c>
    </row>
    <row r="245" spans="2:7" x14ac:dyDescent="0.3">
      <c r="B245" s="12">
        <v>38722</v>
      </c>
      <c r="C245" s="6">
        <v>5723.81</v>
      </c>
      <c r="D245" s="6">
        <v>6023.1</v>
      </c>
      <c r="E245" s="6">
        <v>6133.5</v>
      </c>
      <c r="F245" s="6">
        <v>5510.5</v>
      </c>
      <c r="G245" s="7">
        <v>-4.9700000000000001E-2</v>
      </c>
    </row>
    <row r="246" spans="2:7" x14ac:dyDescent="0.3">
      <c r="B246" s="12">
        <v>38721</v>
      </c>
      <c r="C246" s="6">
        <v>6023.14</v>
      </c>
      <c r="D246" s="6">
        <v>5964.6</v>
      </c>
      <c r="E246" s="6">
        <v>6137.1</v>
      </c>
      <c r="F246" s="6">
        <v>5964.6</v>
      </c>
      <c r="G246" s="7">
        <v>9.7999999999999997E-3</v>
      </c>
    </row>
    <row r="247" spans="2:7" x14ac:dyDescent="0.3">
      <c r="B247" s="12">
        <v>38720</v>
      </c>
      <c r="C247" s="6">
        <v>5964.57</v>
      </c>
      <c r="D247" s="6">
        <v>5791.5</v>
      </c>
      <c r="E247" s="6">
        <v>6047</v>
      </c>
      <c r="F247" s="6">
        <v>5783.9</v>
      </c>
      <c r="G247" s="7">
        <v>2.9899999999999999E-2</v>
      </c>
    </row>
    <row r="248" spans="2:7" x14ac:dyDescent="0.3">
      <c r="B248" s="12">
        <v>38719</v>
      </c>
      <c r="C248" s="6">
        <v>5791.54</v>
      </c>
      <c r="D248" s="6">
        <v>5760.3</v>
      </c>
      <c r="E248" s="6">
        <v>5893.3</v>
      </c>
      <c r="F248" s="6">
        <v>5681.9</v>
      </c>
      <c r="G248" s="7">
        <v>5.4000000000000003E-3</v>
      </c>
    </row>
    <row r="249" spans="2:7" x14ac:dyDescent="0.3">
      <c r="B249" s="12">
        <v>38718</v>
      </c>
      <c r="C249" s="6">
        <v>5760.26</v>
      </c>
      <c r="D249" s="6">
        <v>5618.8</v>
      </c>
      <c r="E249" s="6">
        <v>5796.1</v>
      </c>
      <c r="F249" s="6">
        <v>5618.8</v>
      </c>
      <c r="G249" s="7">
        <v>2.52E-2</v>
      </c>
    </row>
    <row r="250" spans="2:7" x14ac:dyDescent="0.3">
      <c r="B250" s="12">
        <v>38364</v>
      </c>
      <c r="C250" s="6">
        <v>5618.76</v>
      </c>
      <c r="D250" s="6">
        <v>5423.2</v>
      </c>
      <c r="E250" s="6">
        <v>5647.2</v>
      </c>
      <c r="F250" s="6">
        <v>5423.2</v>
      </c>
      <c r="G250" s="7">
        <v>3.61E-2</v>
      </c>
    </row>
    <row r="251" spans="2:7" x14ac:dyDescent="0.3">
      <c r="B251" s="12">
        <v>38363</v>
      </c>
      <c r="C251" s="6">
        <v>5423.17</v>
      </c>
      <c r="D251" s="6">
        <v>5317.3</v>
      </c>
      <c r="E251" s="6">
        <v>5554.9</v>
      </c>
      <c r="F251" s="6">
        <v>5304.9</v>
      </c>
      <c r="G251" s="7">
        <v>1.9900000000000001E-2</v>
      </c>
    </row>
    <row r="252" spans="2:7" x14ac:dyDescent="0.3">
      <c r="B252" s="12">
        <v>38362</v>
      </c>
      <c r="C252" s="6">
        <v>5317.28</v>
      </c>
      <c r="D252" s="6">
        <v>5477.7</v>
      </c>
      <c r="E252" s="6">
        <v>5515</v>
      </c>
      <c r="F252" s="6">
        <v>5130.8999999999996</v>
      </c>
      <c r="G252" s="7">
        <v>-2.93E-2</v>
      </c>
    </row>
    <row r="253" spans="2:7" x14ac:dyDescent="0.3">
      <c r="B253" s="12">
        <v>38361</v>
      </c>
      <c r="C253" s="6">
        <v>5477.71</v>
      </c>
      <c r="D253" s="6">
        <v>5296.9</v>
      </c>
      <c r="E253" s="6">
        <v>5508.4</v>
      </c>
      <c r="F253" s="6">
        <v>5296.9</v>
      </c>
      <c r="G253" s="7">
        <v>3.4099999999999998E-2</v>
      </c>
    </row>
    <row r="254" spans="2:7" x14ac:dyDescent="0.3">
      <c r="B254" s="12">
        <v>38360</v>
      </c>
      <c r="C254" s="6">
        <v>5296.92</v>
      </c>
      <c r="D254" s="6">
        <v>5282.3</v>
      </c>
      <c r="E254" s="6">
        <v>5386.4</v>
      </c>
      <c r="F254" s="6">
        <v>5228.1000000000004</v>
      </c>
      <c r="G254" s="7">
        <v>2.8E-3</v>
      </c>
    </row>
    <row r="255" spans="2:7" x14ac:dyDescent="0.3">
      <c r="B255" s="12">
        <v>38359</v>
      </c>
      <c r="C255" s="6">
        <v>5282.3</v>
      </c>
      <c r="D255" s="6">
        <v>5113.2</v>
      </c>
      <c r="E255" s="6">
        <v>5308.6</v>
      </c>
      <c r="F255" s="6">
        <v>5022.1000000000004</v>
      </c>
      <c r="G255" s="7">
        <v>3.3099999999999997E-2</v>
      </c>
    </row>
    <row r="256" spans="2:7" x14ac:dyDescent="0.3">
      <c r="B256" s="12">
        <v>38358</v>
      </c>
      <c r="C256" s="6">
        <v>5113.16</v>
      </c>
      <c r="D256" s="6">
        <v>4964</v>
      </c>
      <c r="E256" s="6">
        <v>5138.2</v>
      </c>
      <c r="F256" s="6">
        <v>4964</v>
      </c>
      <c r="G256" s="7">
        <v>3.0099999999999998E-2</v>
      </c>
    </row>
    <row r="257" spans="2:7" x14ac:dyDescent="0.3">
      <c r="B257" s="12">
        <v>38357</v>
      </c>
      <c r="C257" s="6">
        <v>4963.97</v>
      </c>
      <c r="D257" s="6">
        <v>4801.7</v>
      </c>
      <c r="E257" s="6">
        <v>5004.3</v>
      </c>
      <c r="F257" s="6">
        <v>4801.7</v>
      </c>
      <c r="G257" s="7">
        <v>3.3799999999999997E-2</v>
      </c>
    </row>
    <row r="258" spans="2:7" x14ac:dyDescent="0.3">
      <c r="B258" s="12">
        <v>38356</v>
      </c>
      <c r="C258" s="6">
        <v>4801.68</v>
      </c>
      <c r="D258" s="6">
        <v>4894.3999999999996</v>
      </c>
      <c r="E258" s="6">
        <v>4994.1000000000004</v>
      </c>
      <c r="F258" s="6">
        <v>4773.7</v>
      </c>
      <c r="G258" s="7">
        <v>-1.89E-2</v>
      </c>
    </row>
    <row r="259" spans="2:7" x14ac:dyDescent="0.3">
      <c r="B259" s="12">
        <v>38355</v>
      </c>
      <c r="C259" s="6">
        <v>4894.37</v>
      </c>
      <c r="D259" s="6">
        <v>4968.5</v>
      </c>
      <c r="E259" s="6">
        <v>5042</v>
      </c>
      <c r="F259" s="6">
        <v>4886.5</v>
      </c>
      <c r="G259" s="7">
        <v>-1.49E-2</v>
      </c>
    </row>
    <row r="260" spans="2:7" x14ac:dyDescent="0.3">
      <c r="B260" s="12">
        <v>38354</v>
      </c>
      <c r="C260" s="6">
        <v>4968.5</v>
      </c>
      <c r="D260" s="6">
        <v>4852.3</v>
      </c>
      <c r="E260" s="6">
        <v>5077.8</v>
      </c>
      <c r="F260" s="6">
        <v>4852.3</v>
      </c>
      <c r="G260" s="7">
        <v>2.3900000000000001E-2</v>
      </c>
    </row>
    <row r="261" spans="2:7" x14ac:dyDescent="0.3">
      <c r="B261" s="12">
        <v>38353</v>
      </c>
      <c r="C261" s="6">
        <v>4852.3100000000004</v>
      </c>
      <c r="D261" s="6">
        <v>4814.3</v>
      </c>
      <c r="E261" s="6">
        <v>4879.5</v>
      </c>
      <c r="F261" s="6">
        <v>4765.3999999999996</v>
      </c>
      <c r="G261" s="7">
        <v>7.9000000000000008E-3</v>
      </c>
    </row>
    <row r="262" spans="2:7" x14ac:dyDescent="0.3">
      <c r="B262" s="12">
        <v>37998</v>
      </c>
      <c r="C262" s="6">
        <v>4814.3</v>
      </c>
      <c r="D262" s="6">
        <v>4703.2</v>
      </c>
      <c r="E262" s="6">
        <v>4826.2</v>
      </c>
      <c r="F262" s="6">
        <v>4675</v>
      </c>
      <c r="G262" s="7">
        <v>2.3599999999999999E-2</v>
      </c>
    </row>
    <row r="263" spans="2:7" x14ac:dyDescent="0.3">
      <c r="B263" s="12">
        <v>37997</v>
      </c>
      <c r="C263" s="6">
        <v>4703.18</v>
      </c>
      <c r="D263" s="6">
        <v>4624.2</v>
      </c>
      <c r="E263" s="6">
        <v>4823.8</v>
      </c>
      <c r="F263" s="6">
        <v>4624.2</v>
      </c>
      <c r="G263" s="7">
        <v>1.7100000000000001E-2</v>
      </c>
    </row>
    <row r="264" spans="2:7" x14ac:dyDescent="0.3">
      <c r="B264" s="12">
        <v>37996</v>
      </c>
      <c r="C264" s="6">
        <v>4624.21</v>
      </c>
      <c r="D264" s="6">
        <v>4570.8</v>
      </c>
      <c r="E264" s="6">
        <v>4732.8999999999996</v>
      </c>
      <c r="F264" s="6">
        <v>4551.6000000000004</v>
      </c>
      <c r="G264" s="7">
        <v>1.17E-2</v>
      </c>
    </row>
    <row r="265" spans="2:7" x14ac:dyDescent="0.3">
      <c r="B265" s="12">
        <v>37995</v>
      </c>
      <c r="C265" s="6">
        <v>4570.7700000000004</v>
      </c>
      <c r="D265" s="6">
        <v>4459.3</v>
      </c>
      <c r="E265" s="6">
        <v>4630.7</v>
      </c>
      <c r="F265" s="6">
        <v>4459.3</v>
      </c>
      <c r="G265" s="7">
        <v>2.5000000000000001E-2</v>
      </c>
    </row>
    <row r="266" spans="2:7" x14ac:dyDescent="0.3">
      <c r="B266" s="12">
        <v>37994</v>
      </c>
      <c r="C266" s="6">
        <v>4459.32</v>
      </c>
      <c r="D266" s="6">
        <v>4413.1000000000004</v>
      </c>
      <c r="E266" s="6">
        <v>4490.1000000000004</v>
      </c>
      <c r="F266" s="6">
        <v>4283</v>
      </c>
      <c r="G266" s="7">
        <v>1.0500000000000001E-2</v>
      </c>
    </row>
    <row r="267" spans="2:7" x14ac:dyDescent="0.3">
      <c r="B267" s="12">
        <v>37993</v>
      </c>
      <c r="C267" s="6">
        <v>4413.08</v>
      </c>
      <c r="D267" s="6">
        <v>4464.1000000000004</v>
      </c>
      <c r="E267" s="6">
        <v>4487.8999999999996</v>
      </c>
      <c r="F267" s="6">
        <v>4283.2</v>
      </c>
      <c r="G267" s="7">
        <v>-1.14E-2</v>
      </c>
    </row>
    <row r="268" spans="2:7" x14ac:dyDescent="0.3">
      <c r="B268" s="12">
        <v>37992</v>
      </c>
      <c r="C268" s="6">
        <v>4464.07</v>
      </c>
      <c r="D268" s="6">
        <v>4430.7</v>
      </c>
      <c r="E268" s="6">
        <v>4535.1000000000004</v>
      </c>
      <c r="F268" s="6">
        <v>4400.7</v>
      </c>
      <c r="G268" s="7">
        <v>7.4999999999999997E-3</v>
      </c>
    </row>
    <row r="269" spans="2:7" x14ac:dyDescent="0.3">
      <c r="B269" s="12">
        <v>37991</v>
      </c>
      <c r="C269" s="6">
        <v>4430.6899999999996</v>
      </c>
      <c r="D269" s="6">
        <v>4489.7</v>
      </c>
      <c r="E269" s="6">
        <v>4573.7</v>
      </c>
      <c r="F269" s="6">
        <v>4363</v>
      </c>
      <c r="G269" s="7">
        <v>-1.3100000000000001E-2</v>
      </c>
    </row>
    <row r="270" spans="2:7" x14ac:dyDescent="0.3">
      <c r="B270" s="12">
        <v>37990</v>
      </c>
      <c r="C270" s="6">
        <v>4489.6899999999996</v>
      </c>
      <c r="D270" s="6">
        <v>4385.7</v>
      </c>
      <c r="E270" s="6">
        <v>4601.6000000000004</v>
      </c>
      <c r="F270" s="6">
        <v>4385.1000000000004</v>
      </c>
      <c r="G270" s="7">
        <v>2.3699999999999999E-2</v>
      </c>
    </row>
    <row r="271" spans="2:7" x14ac:dyDescent="0.3">
      <c r="B271" s="12">
        <v>37989</v>
      </c>
      <c r="C271" s="6">
        <v>4385.67</v>
      </c>
      <c r="D271" s="6">
        <v>4492.2</v>
      </c>
      <c r="E271" s="6">
        <v>4566.2</v>
      </c>
      <c r="F271" s="6">
        <v>4291.3</v>
      </c>
      <c r="G271" s="7">
        <v>-2.3699999999999999E-2</v>
      </c>
    </row>
    <row r="272" spans="2:7" x14ac:dyDescent="0.3">
      <c r="B272" s="12">
        <v>37988</v>
      </c>
      <c r="C272" s="6">
        <v>4492.21</v>
      </c>
      <c r="D272" s="6">
        <v>4390.7</v>
      </c>
      <c r="E272" s="6">
        <v>4556.8999999999996</v>
      </c>
      <c r="F272" s="6">
        <v>4357.3999999999996</v>
      </c>
      <c r="G272" s="7">
        <v>2.3099999999999999E-2</v>
      </c>
    </row>
    <row r="273" spans="2:7" x14ac:dyDescent="0.3">
      <c r="B273" s="12">
        <v>37987</v>
      </c>
      <c r="C273" s="6">
        <v>4390.68</v>
      </c>
      <c r="D273" s="6">
        <v>4476.8999999999996</v>
      </c>
      <c r="E273" s="6">
        <v>4531.3999999999996</v>
      </c>
      <c r="F273" s="6">
        <v>4390.7</v>
      </c>
      <c r="G273" s="7">
        <v>-1.9300000000000001E-2</v>
      </c>
    </row>
    <row r="274" spans="2:7" x14ac:dyDescent="0.3">
      <c r="B274" s="12">
        <v>37633</v>
      </c>
      <c r="C274" s="6">
        <v>4476.87</v>
      </c>
      <c r="D274" s="6">
        <v>4342.6000000000004</v>
      </c>
      <c r="E274" s="6">
        <v>4491.8</v>
      </c>
      <c r="F274" s="6">
        <v>4312.5</v>
      </c>
      <c r="G274" s="7">
        <v>3.09E-2</v>
      </c>
    </row>
    <row r="275" spans="2:7" x14ac:dyDescent="0.3">
      <c r="B275" s="12">
        <v>37632</v>
      </c>
      <c r="C275" s="6">
        <v>4342.6000000000004</v>
      </c>
      <c r="D275" s="6">
        <v>4287.6000000000004</v>
      </c>
      <c r="E275" s="6">
        <v>4423.6000000000004</v>
      </c>
      <c r="F275" s="6">
        <v>4270.5</v>
      </c>
      <c r="G275" s="7">
        <v>1.2800000000000001E-2</v>
      </c>
    </row>
    <row r="276" spans="2:7" x14ac:dyDescent="0.3">
      <c r="B276" s="12">
        <v>37631</v>
      </c>
      <c r="C276" s="6">
        <v>4287.59</v>
      </c>
      <c r="D276" s="6">
        <v>4091.3</v>
      </c>
      <c r="E276" s="6">
        <v>4393.8</v>
      </c>
      <c r="F276" s="6">
        <v>4091.3</v>
      </c>
      <c r="G276" s="7">
        <v>4.8000000000000001E-2</v>
      </c>
    </row>
    <row r="277" spans="2:7" x14ac:dyDescent="0.3">
      <c r="B277" s="12">
        <v>37630</v>
      </c>
      <c r="C277" s="6">
        <v>4091.31</v>
      </c>
      <c r="D277" s="6">
        <v>4161.1000000000004</v>
      </c>
      <c r="E277" s="6">
        <v>4329.6000000000004</v>
      </c>
      <c r="F277" s="6">
        <v>4081.8</v>
      </c>
      <c r="G277" s="7">
        <v>-1.6799999999999999E-2</v>
      </c>
    </row>
    <row r="278" spans="2:7" x14ac:dyDescent="0.3">
      <c r="B278" s="12">
        <v>37629</v>
      </c>
      <c r="C278" s="6">
        <v>4161.0600000000004</v>
      </c>
      <c r="D278" s="6">
        <v>4157</v>
      </c>
      <c r="E278" s="6">
        <v>4286.8999999999996</v>
      </c>
      <c r="F278" s="6">
        <v>4044.9</v>
      </c>
      <c r="G278" s="7">
        <v>1E-3</v>
      </c>
    </row>
    <row r="279" spans="2:7" x14ac:dyDescent="0.3">
      <c r="B279" s="12">
        <v>37628</v>
      </c>
      <c r="C279" s="6">
        <v>4157</v>
      </c>
      <c r="D279" s="6">
        <v>4031.2</v>
      </c>
      <c r="E279" s="6">
        <v>4183</v>
      </c>
      <c r="F279" s="6">
        <v>3951.5</v>
      </c>
      <c r="G279" s="7">
        <v>3.1199999999999999E-2</v>
      </c>
    </row>
    <row r="280" spans="2:7" x14ac:dyDescent="0.3">
      <c r="B280" s="12">
        <v>37627</v>
      </c>
      <c r="C280" s="6">
        <v>4031.2</v>
      </c>
      <c r="D280" s="6">
        <v>4048.1</v>
      </c>
      <c r="E280" s="6">
        <v>4218.8</v>
      </c>
      <c r="F280" s="6">
        <v>4021.6</v>
      </c>
      <c r="G280" s="7">
        <v>-4.1999999999999997E-3</v>
      </c>
    </row>
    <row r="281" spans="2:7" x14ac:dyDescent="0.3">
      <c r="B281" s="12">
        <v>37626</v>
      </c>
      <c r="C281" s="6">
        <v>4048.1</v>
      </c>
      <c r="D281" s="6">
        <v>3926</v>
      </c>
      <c r="E281" s="6">
        <v>4096</v>
      </c>
      <c r="F281" s="6">
        <v>3875.3</v>
      </c>
      <c r="G281" s="7">
        <v>3.1099999999999999E-2</v>
      </c>
    </row>
    <row r="282" spans="2:7" x14ac:dyDescent="0.3">
      <c r="B282" s="12">
        <v>37625</v>
      </c>
      <c r="C282" s="6">
        <v>3926</v>
      </c>
      <c r="D282" s="6">
        <v>3613.3</v>
      </c>
      <c r="E282" s="6">
        <v>3997.3</v>
      </c>
      <c r="F282" s="6">
        <v>3612.3</v>
      </c>
      <c r="G282" s="7">
        <v>8.6499999999999994E-2</v>
      </c>
    </row>
    <row r="283" spans="2:7" x14ac:dyDescent="0.3">
      <c r="B283" s="12">
        <v>37624</v>
      </c>
      <c r="C283" s="6">
        <v>3613.3</v>
      </c>
      <c r="D283" s="6">
        <v>3655.6</v>
      </c>
      <c r="E283" s="6">
        <v>3881.7</v>
      </c>
      <c r="F283" s="6">
        <v>3277.5</v>
      </c>
      <c r="G283" s="7">
        <v>-1.1599999999999999E-2</v>
      </c>
    </row>
    <row r="284" spans="2:7" x14ac:dyDescent="0.3">
      <c r="B284" s="12">
        <v>37623</v>
      </c>
      <c r="C284" s="6">
        <v>3655.6</v>
      </c>
      <c r="D284" s="6">
        <v>3567.4</v>
      </c>
      <c r="E284" s="6">
        <v>3747</v>
      </c>
      <c r="F284" s="6">
        <v>3535.1</v>
      </c>
      <c r="G284" s="7">
        <v>2.47E-2</v>
      </c>
    </row>
    <row r="285" spans="2:7" x14ac:dyDescent="0.3">
      <c r="B285" s="12">
        <v>37622</v>
      </c>
      <c r="C285" s="6">
        <v>3567.4</v>
      </c>
      <c r="D285" s="6">
        <v>3940.4</v>
      </c>
      <c r="E285" s="6">
        <v>4027.6</v>
      </c>
      <c r="F285" s="6">
        <v>3391.5</v>
      </c>
      <c r="G285" s="7">
        <v>-9.4700000000000006E-2</v>
      </c>
    </row>
    <row r="286" spans="2:7" x14ac:dyDescent="0.3">
      <c r="B286" s="12">
        <v>37268</v>
      </c>
      <c r="C286" s="6">
        <v>3940.4</v>
      </c>
      <c r="D286" s="6">
        <v>4169.3999999999996</v>
      </c>
      <c r="E286" s="6">
        <v>4218.6000000000004</v>
      </c>
      <c r="F286" s="6">
        <v>3803.4</v>
      </c>
      <c r="G286" s="7">
        <v>-5.4899999999999997E-2</v>
      </c>
    </row>
    <row r="287" spans="2:7" x14ac:dyDescent="0.3">
      <c r="B287" s="12">
        <v>37267</v>
      </c>
      <c r="C287" s="6">
        <v>4169.3999999999996</v>
      </c>
      <c r="D287" s="6">
        <v>4039.7</v>
      </c>
      <c r="E287" s="6">
        <v>4224.8</v>
      </c>
      <c r="F287" s="6">
        <v>3953.3</v>
      </c>
      <c r="G287" s="7">
        <v>3.2099999999999997E-2</v>
      </c>
    </row>
    <row r="288" spans="2:7" x14ac:dyDescent="0.3">
      <c r="B288" s="12">
        <v>37266</v>
      </c>
      <c r="C288" s="6">
        <v>4039.7</v>
      </c>
      <c r="D288" s="6">
        <v>3721.8</v>
      </c>
      <c r="E288" s="6">
        <v>4197.5</v>
      </c>
      <c r="F288" s="6">
        <v>3663.4</v>
      </c>
      <c r="G288" s="7">
        <v>8.5400000000000004E-2</v>
      </c>
    </row>
    <row r="289" spans="2:7" x14ac:dyDescent="0.3">
      <c r="B289" s="12">
        <v>37265</v>
      </c>
      <c r="C289" s="6">
        <v>3721.8</v>
      </c>
      <c r="D289" s="6">
        <v>4227.3</v>
      </c>
      <c r="E289" s="6">
        <v>4246.3999999999996</v>
      </c>
      <c r="F289" s="6">
        <v>3609.9</v>
      </c>
      <c r="G289" s="7">
        <v>-0.1196</v>
      </c>
    </row>
    <row r="290" spans="2:7" x14ac:dyDescent="0.3">
      <c r="B290" s="12">
        <v>37264</v>
      </c>
      <c r="C290" s="6">
        <v>4227.3</v>
      </c>
      <c r="D290" s="6">
        <v>4246.2</v>
      </c>
      <c r="E290" s="6">
        <v>4466.3999999999996</v>
      </c>
      <c r="F290" s="6">
        <v>3900.7</v>
      </c>
      <c r="G290" s="7">
        <v>-4.4999999999999997E-3</v>
      </c>
    </row>
    <row r="291" spans="2:7" x14ac:dyDescent="0.3">
      <c r="B291" s="12">
        <v>37263</v>
      </c>
      <c r="C291" s="6">
        <v>4246.2</v>
      </c>
      <c r="D291" s="6">
        <v>4656.3999999999996</v>
      </c>
      <c r="E291" s="6">
        <v>4708.7</v>
      </c>
      <c r="F291" s="6">
        <v>3625.9</v>
      </c>
      <c r="G291" s="7">
        <v>-8.8099999999999998E-2</v>
      </c>
    </row>
    <row r="292" spans="2:7" x14ac:dyDescent="0.3">
      <c r="B292" s="12">
        <v>37262</v>
      </c>
      <c r="C292" s="6">
        <v>4656.3999999999996</v>
      </c>
      <c r="D292" s="6">
        <v>5085.1000000000004</v>
      </c>
      <c r="E292" s="6">
        <v>5085.1000000000004</v>
      </c>
      <c r="F292" s="6">
        <v>4442.8999999999996</v>
      </c>
      <c r="G292" s="7">
        <v>-8.43E-2</v>
      </c>
    </row>
    <row r="293" spans="2:7" x14ac:dyDescent="0.3">
      <c r="B293" s="12">
        <v>37261</v>
      </c>
      <c r="C293" s="6">
        <v>5085.1000000000004</v>
      </c>
      <c r="D293" s="6">
        <v>5165.6000000000004</v>
      </c>
      <c r="E293" s="6">
        <v>5282.2</v>
      </c>
      <c r="F293" s="6">
        <v>5016.8999999999996</v>
      </c>
      <c r="G293" s="7">
        <v>-1.5599999999999999E-2</v>
      </c>
    </row>
    <row r="294" spans="2:7" x14ac:dyDescent="0.3">
      <c r="B294" s="12">
        <v>37260</v>
      </c>
      <c r="C294" s="6">
        <v>5165.6000000000004</v>
      </c>
      <c r="D294" s="6">
        <v>5271.8</v>
      </c>
      <c r="E294" s="6">
        <v>5292.3</v>
      </c>
      <c r="F294" s="6">
        <v>5116</v>
      </c>
      <c r="G294" s="7">
        <v>-2.01E-2</v>
      </c>
    </row>
    <row r="295" spans="2:7" x14ac:dyDescent="0.3">
      <c r="B295" s="12">
        <v>37259</v>
      </c>
      <c r="C295" s="6">
        <v>5271.8</v>
      </c>
      <c r="D295" s="6">
        <v>5101</v>
      </c>
      <c r="E295" s="6">
        <v>5331.6</v>
      </c>
      <c r="F295" s="6">
        <v>5101</v>
      </c>
      <c r="G295" s="7">
        <v>3.3500000000000002E-2</v>
      </c>
    </row>
    <row r="296" spans="2:7" x14ac:dyDescent="0.3">
      <c r="B296" s="12">
        <v>37258</v>
      </c>
      <c r="C296" s="6">
        <v>5101</v>
      </c>
      <c r="D296" s="6">
        <v>5164.8</v>
      </c>
      <c r="E296" s="6">
        <v>5238</v>
      </c>
      <c r="F296" s="6">
        <v>5015.5</v>
      </c>
      <c r="G296" s="7">
        <v>-1.24E-2</v>
      </c>
    </row>
    <row r="297" spans="2:7" x14ac:dyDescent="0.3">
      <c r="B297" s="12">
        <v>37257</v>
      </c>
      <c r="C297" s="6">
        <v>5164.8</v>
      </c>
      <c r="D297" s="6">
        <v>5217.3999999999996</v>
      </c>
      <c r="E297" s="6">
        <v>5362.3</v>
      </c>
      <c r="F297" s="6">
        <v>5052.8</v>
      </c>
      <c r="G297" s="7">
        <v>-1.01E-2</v>
      </c>
    </row>
    <row r="298" spans="2:7" x14ac:dyDescent="0.3">
      <c r="B298" s="12">
        <v>36903</v>
      </c>
      <c r="C298" s="6">
        <v>5217.3999999999996</v>
      </c>
      <c r="D298" s="6">
        <v>5203.6000000000004</v>
      </c>
      <c r="E298" s="6">
        <v>5411.2</v>
      </c>
      <c r="F298" s="6">
        <v>5032.3</v>
      </c>
      <c r="G298" s="7">
        <v>2.7000000000000001E-3</v>
      </c>
    </row>
    <row r="299" spans="2:7" x14ac:dyDescent="0.3">
      <c r="B299" s="12">
        <v>36902</v>
      </c>
      <c r="C299" s="6">
        <v>5203.6000000000004</v>
      </c>
      <c r="D299" s="6">
        <v>5039.7</v>
      </c>
      <c r="E299" s="6">
        <v>5383.2</v>
      </c>
      <c r="F299" s="6">
        <v>4988.3</v>
      </c>
      <c r="G299" s="7">
        <v>3.2500000000000001E-2</v>
      </c>
    </row>
    <row r="300" spans="2:7" x14ac:dyDescent="0.3">
      <c r="B300" s="12">
        <v>36901</v>
      </c>
      <c r="C300" s="6">
        <v>5039.7</v>
      </c>
      <c r="D300" s="6">
        <v>4903.3999999999996</v>
      </c>
      <c r="E300" s="6">
        <v>5279.8</v>
      </c>
      <c r="F300" s="6">
        <v>4730.7</v>
      </c>
      <c r="G300" s="7">
        <v>2.7799999999999998E-2</v>
      </c>
    </row>
    <row r="301" spans="2:7" x14ac:dyDescent="0.3">
      <c r="B301" s="12">
        <v>36900</v>
      </c>
      <c r="C301" s="6">
        <v>4903.3999999999996</v>
      </c>
      <c r="D301" s="6">
        <v>5345</v>
      </c>
      <c r="E301" s="6">
        <v>5379.6</v>
      </c>
      <c r="F301" s="6">
        <v>4219.8</v>
      </c>
      <c r="G301" s="7">
        <v>-8.2600000000000007E-2</v>
      </c>
    </row>
    <row r="302" spans="2:7" x14ac:dyDescent="0.3">
      <c r="B302" s="12">
        <v>36899</v>
      </c>
      <c r="C302" s="6">
        <v>5345</v>
      </c>
      <c r="D302" s="6">
        <v>5529.1</v>
      </c>
      <c r="E302" s="6">
        <v>5644.2</v>
      </c>
      <c r="F302" s="6">
        <v>5286.7</v>
      </c>
      <c r="G302" s="7">
        <v>-3.3300000000000003E-2</v>
      </c>
    </row>
    <row r="303" spans="2:7" x14ac:dyDescent="0.3">
      <c r="B303" s="12">
        <v>36898</v>
      </c>
      <c r="C303" s="6">
        <v>5529.1</v>
      </c>
      <c r="D303" s="6">
        <v>5642.5</v>
      </c>
      <c r="E303" s="6">
        <v>5726.1</v>
      </c>
      <c r="F303" s="6">
        <v>5260.5</v>
      </c>
      <c r="G303" s="7">
        <v>-2.01E-2</v>
      </c>
    </row>
    <row r="304" spans="2:7" x14ac:dyDescent="0.3">
      <c r="B304" s="12">
        <v>36897</v>
      </c>
      <c r="C304" s="6">
        <v>5642.5</v>
      </c>
      <c r="D304" s="6">
        <v>5796.1</v>
      </c>
      <c r="E304" s="6">
        <v>5981.8</v>
      </c>
      <c r="F304" s="6">
        <v>5519.6</v>
      </c>
      <c r="G304" s="7">
        <v>-2.6499999999999999E-2</v>
      </c>
    </row>
    <row r="305" spans="2:7" x14ac:dyDescent="0.3">
      <c r="B305" s="12">
        <v>36896</v>
      </c>
      <c r="C305" s="6">
        <v>5796.1</v>
      </c>
      <c r="D305" s="6">
        <v>5966.9</v>
      </c>
      <c r="E305" s="6">
        <v>5993.7</v>
      </c>
      <c r="F305" s="6">
        <v>5690.5</v>
      </c>
      <c r="G305" s="7">
        <v>-2.86E-2</v>
      </c>
    </row>
    <row r="306" spans="2:7" x14ac:dyDescent="0.3">
      <c r="B306" s="12">
        <v>36895</v>
      </c>
      <c r="C306" s="6">
        <v>5966.9</v>
      </c>
      <c r="D306" s="6">
        <v>5633.7</v>
      </c>
      <c r="E306" s="6">
        <v>5995.4</v>
      </c>
      <c r="F306" s="6">
        <v>5354.3</v>
      </c>
      <c r="G306" s="7">
        <v>5.91E-2</v>
      </c>
    </row>
    <row r="307" spans="2:7" x14ac:dyDescent="0.3">
      <c r="B307" s="12">
        <v>36894</v>
      </c>
      <c r="C307" s="6">
        <v>5633.7</v>
      </c>
      <c r="D307" s="6">
        <v>5917.9</v>
      </c>
      <c r="E307" s="6">
        <v>6050.4</v>
      </c>
      <c r="F307" s="6">
        <v>5279.6</v>
      </c>
      <c r="G307" s="7">
        <v>-4.8000000000000001E-2</v>
      </c>
    </row>
    <row r="308" spans="2:7" x14ac:dyDescent="0.3">
      <c r="B308" s="13">
        <v>36893</v>
      </c>
      <c r="C308" s="8">
        <v>5917.9</v>
      </c>
      <c r="D308" s="8">
        <v>6297.5</v>
      </c>
      <c r="E308" s="8">
        <v>6309.9</v>
      </c>
      <c r="F308" s="8">
        <v>5901.7</v>
      </c>
      <c r="G308" s="9">
        <v>-6.0299999999999999E-2</v>
      </c>
    </row>
  </sheetData>
  <mergeCells count="1">
    <mergeCell ref="M14:Q14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11"/>
  <sheetViews>
    <sheetView showGridLines="0" workbookViewId="0">
      <selection activeCell="N8" sqref="N8"/>
    </sheetView>
  </sheetViews>
  <sheetFormatPr defaultRowHeight="14.4" x14ac:dyDescent="0.3"/>
  <cols>
    <col min="1" max="1" width="2" customWidth="1"/>
    <col min="2" max="2" width="9.5546875" bestFit="1" customWidth="1"/>
    <col min="10" max="10" width="28.109375" bestFit="1" customWidth="1"/>
    <col min="12" max="12" width="12.109375" bestFit="1" customWidth="1"/>
  </cols>
  <sheetData>
    <row r="2" spans="2:18" x14ac:dyDescent="0.3">
      <c r="B2" s="28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I2" s="29" t="s">
        <v>15</v>
      </c>
      <c r="J2" s="5" t="s">
        <v>16</v>
      </c>
      <c r="L2" s="10" t="s">
        <v>17</v>
      </c>
      <c r="M2" s="10" t="s">
        <v>10</v>
      </c>
      <c r="N2" s="20">
        <f>AVERAGE(J9:J28)</f>
        <v>2.6801807738095235E-2</v>
      </c>
    </row>
    <row r="3" spans="2:18" x14ac:dyDescent="0.3">
      <c r="B3" s="12">
        <v>46029</v>
      </c>
      <c r="C3" s="6">
        <v>4.9729000000000001</v>
      </c>
      <c r="D3" s="6">
        <v>4.9941000000000004</v>
      </c>
      <c r="E3" s="6">
        <v>5.1266999999999996</v>
      </c>
      <c r="F3" s="6">
        <v>4.8746999999999998</v>
      </c>
      <c r="G3" s="7">
        <v>4.4900000000000002E-2</v>
      </c>
      <c r="I3" s="15">
        <v>2001</v>
      </c>
      <c r="J3" s="7">
        <f t="shared" ref="J3:J28" si="0">(AVERAGEIFS($C$3:$C$309,$B$3:$B$309,"&gt;="&amp;DATE(I3,1,1),$B$3:$B$309,"&lt;="&amp;DATE(I3,12,31)))/100</f>
        <v>4.9241666666666663E-2</v>
      </c>
    </row>
    <row r="4" spans="2:18" x14ac:dyDescent="0.3">
      <c r="B4" s="12">
        <v>46028</v>
      </c>
      <c r="C4" s="6">
        <v>4.7591999999999999</v>
      </c>
      <c r="D4" s="6">
        <v>4.8970000000000002</v>
      </c>
      <c r="E4" s="6">
        <v>4.9424999999999999</v>
      </c>
      <c r="F4" s="6">
        <v>4.6814</v>
      </c>
      <c r="G4" s="7">
        <v>-1.2E-2</v>
      </c>
      <c r="I4" s="15">
        <f>I3+1</f>
        <v>2002</v>
      </c>
      <c r="J4" s="7">
        <f t="shared" si="0"/>
        <v>4.8343333333333335E-2</v>
      </c>
      <c r="L4" s="10" t="s">
        <v>17</v>
      </c>
      <c r="M4" s="10" t="s">
        <v>18</v>
      </c>
      <c r="N4" s="20">
        <f>AVERAGE(J14:J28)</f>
        <v>2.2723521428571428E-2</v>
      </c>
    </row>
    <row r="5" spans="2:18" x14ac:dyDescent="0.3">
      <c r="B5" s="12">
        <v>46027</v>
      </c>
      <c r="C5" s="6">
        <v>4.8170000000000002</v>
      </c>
      <c r="D5" s="6">
        <v>4.9634999999999998</v>
      </c>
      <c r="E5" s="6">
        <v>5.1775000000000002</v>
      </c>
      <c r="F5" s="6">
        <v>4.8120000000000003</v>
      </c>
      <c r="G5" s="7">
        <v>-4.1000000000000002E-2</v>
      </c>
      <c r="I5" s="15">
        <f t="shared" ref="I5:I28" si="1">I4+1</f>
        <v>2003</v>
      </c>
      <c r="J5" s="7">
        <f t="shared" si="0"/>
        <v>4.4786666666666662E-2</v>
      </c>
    </row>
    <row r="6" spans="2:18" x14ac:dyDescent="0.3">
      <c r="B6" s="12">
        <v>46026</v>
      </c>
      <c r="C6" s="6">
        <v>5.0229999999999997</v>
      </c>
      <c r="D6" s="6">
        <v>4.8254999999999999</v>
      </c>
      <c r="E6" s="6">
        <v>5.0625</v>
      </c>
      <c r="F6" s="6">
        <v>4.7074999999999996</v>
      </c>
      <c r="G6" s="7">
        <v>2.1399999999999999E-2</v>
      </c>
      <c r="I6" s="15">
        <f t="shared" si="1"/>
        <v>2004</v>
      </c>
      <c r="J6" s="7">
        <f t="shared" si="0"/>
        <v>4.880583333333334E-2</v>
      </c>
      <c r="L6" s="10" t="s">
        <v>17</v>
      </c>
      <c r="M6" s="10" t="s">
        <v>12</v>
      </c>
      <c r="N6" s="20">
        <f>AVERAGE(J19:J28)</f>
        <v>2.4470198809523811E-2</v>
      </c>
    </row>
    <row r="7" spans="2:18" x14ac:dyDescent="0.3">
      <c r="B7" s="12">
        <v>46025</v>
      </c>
      <c r="C7" s="6">
        <v>4.9180000000000001</v>
      </c>
      <c r="D7" s="6">
        <v>4.3659999999999997</v>
      </c>
      <c r="E7" s="6">
        <v>4.9904999999999999</v>
      </c>
      <c r="F7" s="6">
        <v>4.3659999999999997</v>
      </c>
      <c r="G7" s="7">
        <v>0.161</v>
      </c>
      <c r="I7" s="15">
        <f t="shared" si="1"/>
        <v>2005</v>
      </c>
      <c r="J7" s="7">
        <f t="shared" si="0"/>
        <v>4.390666666666667E-2</v>
      </c>
    </row>
    <row r="8" spans="2:18" x14ac:dyDescent="0.3">
      <c r="B8" s="12">
        <v>46024</v>
      </c>
      <c r="C8" s="6">
        <v>4.2359999999999998</v>
      </c>
      <c r="D8" s="6">
        <v>4.5049999999999999</v>
      </c>
      <c r="E8" s="6">
        <v>4.5579999999999998</v>
      </c>
      <c r="F8" s="6">
        <v>4.2305000000000001</v>
      </c>
      <c r="G8" s="7">
        <v>-6.3899999999999998E-2</v>
      </c>
      <c r="I8" s="15">
        <f t="shared" si="1"/>
        <v>2006</v>
      </c>
      <c r="J8" s="7">
        <f t="shared" si="0"/>
        <v>4.52025E-2</v>
      </c>
      <c r="L8" s="10" t="s">
        <v>17</v>
      </c>
      <c r="M8" s="10" t="s">
        <v>19</v>
      </c>
      <c r="N8" s="20">
        <f>AVERAGE(J24:J28)</f>
        <v>3.9917564285714288E-2</v>
      </c>
    </row>
    <row r="9" spans="2:18" x14ac:dyDescent="0.3">
      <c r="B9" s="12">
        <v>46023</v>
      </c>
      <c r="C9" s="6">
        <v>4.5250000000000004</v>
      </c>
      <c r="D9" s="6">
        <v>4.5350000000000001</v>
      </c>
      <c r="E9" s="6">
        <v>4.5439999999999996</v>
      </c>
      <c r="F9" s="6">
        <v>4.34</v>
      </c>
      <c r="G9" s="7">
        <v>1.14E-2</v>
      </c>
      <c r="I9" s="15">
        <f t="shared" si="1"/>
        <v>2007</v>
      </c>
      <c r="J9" s="7">
        <f t="shared" si="0"/>
        <v>4.9972500000000003E-2</v>
      </c>
    </row>
    <row r="10" spans="2:18" x14ac:dyDescent="0.3">
      <c r="B10" s="12">
        <v>45669</v>
      </c>
      <c r="C10" s="6">
        <v>4.4740000000000002</v>
      </c>
      <c r="D10" s="6">
        <v>4.4800000000000004</v>
      </c>
      <c r="E10" s="6">
        <v>4.5345000000000004</v>
      </c>
      <c r="F10" s="6">
        <v>4.4340000000000002</v>
      </c>
      <c r="G10" s="7">
        <v>7.1999999999999998E-3</v>
      </c>
      <c r="I10" s="15">
        <f t="shared" si="1"/>
        <v>2008</v>
      </c>
      <c r="J10" s="7">
        <f t="shared" si="0"/>
        <v>4.4499166666666673E-2</v>
      </c>
      <c r="L10" s="10" t="s">
        <v>17</v>
      </c>
      <c r="M10" s="10" t="s">
        <v>14</v>
      </c>
      <c r="N10" s="20">
        <f>AVERAGE(J26:J28)</f>
        <v>4.4873440476190483E-2</v>
      </c>
    </row>
    <row r="11" spans="2:18" x14ac:dyDescent="0.3">
      <c r="B11" s="12">
        <v>45668</v>
      </c>
      <c r="C11" s="6">
        <v>4.4420000000000002</v>
      </c>
      <c r="D11" s="6">
        <v>4.4355000000000002</v>
      </c>
      <c r="E11" s="6">
        <v>4.5979999999999999</v>
      </c>
      <c r="F11" s="6">
        <v>4.3855000000000004</v>
      </c>
      <c r="G11" s="7">
        <v>7.7000000000000002E-3</v>
      </c>
      <c r="I11" s="15">
        <f t="shared" si="1"/>
        <v>2009</v>
      </c>
      <c r="J11" s="7">
        <f t="shared" si="0"/>
        <v>3.6230833333333337E-2</v>
      </c>
    </row>
    <row r="12" spans="2:18" x14ac:dyDescent="0.3">
      <c r="B12" s="12">
        <v>45667</v>
      </c>
      <c r="C12" s="6">
        <v>4.4080000000000004</v>
      </c>
      <c r="D12" s="6">
        <v>4.6914999999999996</v>
      </c>
      <c r="E12" s="6">
        <v>4.7460000000000004</v>
      </c>
      <c r="F12" s="6">
        <v>4.3899999999999997</v>
      </c>
      <c r="G12" s="7">
        <v>-6.2300000000000001E-2</v>
      </c>
      <c r="I12" s="15">
        <f t="shared" si="1"/>
        <v>2010</v>
      </c>
      <c r="J12" s="7">
        <f t="shared" si="0"/>
        <v>3.4615000000000007E-2</v>
      </c>
      <c r="L12" s="10" t="s">
        <v>17</v>
      </c>
      <c r="M12" s="10" t="s">
        <v>20</v>
      </c>
      <c r="N12" s="20">
        <f>J28</f>
        <v>4.7501571428571428E-2</v>
      </c>
    </row>
    <row r="13" spans="2:18" x14ac:dyDescent="0.3">
      <c r="B13" s="12">
        <v>45666</v>
      </c>
      <c r="C13" s="6">
        <v>4.7009999999999996</v>
      </c>
      <c r="D13" s="6">
        <v>4.7519999999999998</v>
      </c>
      <c r="E13" s="6">
        <v>4.7995000000000001</v>
      </c>
      <c r="F13" s="6">
        <v>4.6020000000000003</v>
      </c>
      <c r="G13" s="7">
        <v>-4.4000000000000003E-3</v>
      </c>
      <c r="I13" s="15">
        <f t="shared" si="1"/>
        <v>2011</v>
      </c>
      <c r="J13" s="7">
        <f t="shared" si="0"/>
        <v>2.9865833333333324E-2</v>
      </c>
    </row>
    <row r="14" spans="2:18" x14ac:dyDescent="0.3">
      <c r="B14" s="12">
        <v>45665</v>
      </c>
      <c r="C14" s="6">
        <v>4.7220000000000004</v>
      </c>
      <c r="D14" s="6">
        <v>4.5235000000000003</v>
      </c>
      <c r="E14" s="6">
        <v>4.74</v>
      </c>
      <c r="F14" s="6">
        <v>4.5045000000000002</v>
      </c>
      <c r="G14" s="7">
        <v>3.39E-2</v>
      </c>
      <c r="I14" s="15">
        <f t="shared" si="1"/>
        <v>2012</v>
      </c>
      <c r="J14" s="7">
        <f t="shared" si="0"/>
        <v>1.82025E-2</v>
      </c>
    </row>
    <row r="15" spans="2:18" ht="15.6" x14ac:dyDescent="0.3">
      <c r="B15" s="12">
        <v>45664</v>
      </c>
      <c r="C15" s="6">
        <v>4.5670000000000002</v>
      </c>
      <c r="D15" s="6">
        <v>4.4530000000000003</v>
      </c>
      <c r="E15" s="6">
        <v>4.673</v>
      </c>
      <c r="F15" s="6">
        <v>4.4530000000000003</v>
      </c>
      <c r="G15" s="7">
        <v>1.8100000000000002E-2</v>
      </c>
      <c r="I15" s="15">
        <f t="shared" si="1"/>
        <v>2013</v>
      </c>
      <c r="J15" s="7">
        <f t="shared" si="0"/>
        <v>2.3521666666666666E-2</v>
      </c>
      <c r="L15" s="89" t="s">
        <v>32</v>
      </c>
      <c r="M15" s="89"/>
      <c r="N15" s="89"/>
      <c r="O15" s="89"/>
      <c r="P15" s="89"/>
      <c r="Q15" s="89"/>
      <c r="R15" s="89"/>
    </row>
    <row r="16" spans="2:18" x14ac:dyDescent="0.3">
      <c r="B16" s="12">
        <v>45663</v>
      </c>
      <c r="C16" s="6">
        <v>4.4859999999999998</v>
      </c>
      <c r="D16" s="6">
        <v>4.6675000000000004</v>
      </c>
      <c r="E16" s="6">
        <v>4.6675000000000004</v>
      </c>
      <c r="F16" s="6">
        <v>4.47</v>
      </c>
      <c r="G16" s="7">
        <v>-3.49E-2</v>
      </c>
      <c r="I16" s="15">
        <f t="shared" si="1"/>
        <v>2014</v>
      </c>
      <c r="J16" s="7">
        <f t="shared" si="0"/>
        <v>2.452E-2</v>
      </c>
    </row>
    <row r="17" spans="2:10" x14ac:dyDescent="0.3">
      <c r="B17" s="12">
        <v>45662</v>
      </c>
      <c r="C17" s="6">
        <v>4.6479999999999997</v>
      </c>
      <c r="D17" s="6">
        <v>4.484</v>
      </c>
      <c r="E17" s="6">
        <v>4.7545000000000002</v>
      </c>
      <c r="F17" s="6">
        <v>4.4595000000000002</v>
      </c>
      <c r="G17" s="7">
        <v>4.7100000000000003E-2</v>
      </c>
      <c r="I17" s="15">
        <f t="shared" si="1"/>
        <v>2015</v>
      </c>
      <c r="J17" s="7">
        <f t="shared" si="0"/>
        <v>1.8076666666666671E-2</v>
      </c>
    </row>
    <row r="18" spans="2:10" x14ac:dyDescent="0.3">
      <c r="B18" s="12">
        <v>45661</v>
      </c>
      <c r="C18" s="6">
        <v>4.4390000000000001</v>
      </c>
      <c r="D18" s="6">
        <v>4.633</v>
      </c>
      <c r="E18" s="6">
        <v>4.7885</v>
      </c>
      <c r="F18" s="6">
        <v>4.4379999999999997</v>
      </c>
      <c r="G18" s="7">
        <v>-5.0700000000000002E-2</v>
      </c>
      <c r="I18" s="15">
        <f t="shared" si="1"/>
        <v>2016</v>
      </c>
      <c r="J18" s="7">
        <f t="shared" si="0"/>
        <v>1.183E-2</v>
      </c>
    </row>
    <row r="19" spans="2:10" x14ac:dyDescent="0.3">
      <c r="B19" s="12">
        <v>45660</v>
      </c>
      <c r="C19" s="6">
        <v>4.6760000000000002</v>
      </c>
      <c r="D19" s="6">
        <v>4.5594999999999999</v>
      </c>
      <c r="E19" s="6">
        <v>4.7880000000000003</v>
      </c>
      <c r="F19" s="6">
        <v>4.5255000000000001</v>
      </c>
      <c r="G19" s="7">
        <v>4.2900000000000001E-2</v>
      </c>
      <c r="I19" s="15">
        <f t="shared" si="1"/>
        <v>2017</v>
      </c>
      <c r="J19" s="7">
        <f t="shared" si="0"/>
        <v>1.2157499999999998E-2</v>
      </c>
    </row>
    <row r="20" spans="2:10" x14ac:dyDescent="0.3">
      <c r="B20" s="12">
        <v>45659</v>
      </c>
      <c r="C20" s="6">
        <v>4.4835000000000003</v>
      </c>
      <c r="D20" s="6">
        <v>4.4894999999999996</v>
      </c>
      <c r="E20" s="6">
        <v>4.6100000000000003</v>
      </c>
      <c r="F20" s="6">
        <v>4.4349999999999996</v>
      </c>
      <c r="G20" s="7">
        <v>-1.11E-2</v>
      </c>
      <c r="I20" s="15">
        <f t="shared" si="1"/>
        <v>2018</v>
      </c>
      <c r="J20" s="7">
        <f t="shared" si="0"/>
        <v>1.3910833333333334E-2</v>
      </c>
    </row>
    <row r="21" spans="2:10" x14ac:dyDescent="0.3">
      <c r="B21" s="12">
        <v>45658</v>
      </c>
      <c r="C21" s="6">
        <v>4.5339999999999998</v>
      </c>
      <c r="D21" s="6">
        <v>4.5934999999999997</v>
      </c>
      <c r="E21" s="6">
        <v>4.8849999999999998</v>
      </c>
      <c r="F21" s="6">
        <v>4.5339999999999998</v>
      </c>
      <c r="G21" s="7">
        <v>-7.0000000000000001E-3</v>
      </c>
      <c r="I21" s="15">
        <f t="shared" si="1"/>
        <v>2019</v>
      </c>
      <c r="J21" s="7">
        <f t="shared" si="0"/>
        <v>8.4624999999999995E-3</v>
      </c>
    </row>
    <row r="22" spans="2:10" x14ac:dyDescent="0.3">
      <c r="B22" s="12">
        <v>45303</v>
      </c>
      <c r="C22" s="6">
        <v>4.5659999999999998</v>
      </c>
      <c r="D22" s="6">
        <v>4.2430000000000003</v>
      </c>
      <c r="E22" s="6">
        <v>4.6559999999999997</v>
      </c>
      <c r="F22" s="6">
        <v>4.194</v>
      </c>
      <c r="G22" s="7">
        <v>7.5899999999999995E-2</v>
      </c>
      <c r="I22" s="15">
        <f t="shared" si="1"/>
        <v>2020</v>
      </c>
      <c r="J22" s="7">
        <f t="shared" si="0"/>
        <v>2.7666666666666668E-3</v>
      </c>
    </row>
    <row r="23" spans="2:10" x14ac:dyDescent="0.3">
      <c r="B23" s="12">
        <v>45302</v>
      </c>
      <c r="C23" s="6">
        <v>4.2439999999999998</v>
      </c>
      <c r="D23" s="6">
        <v>4.4809999999999999</v>
      </c>
      <c r="E23" s="6">
        <v>4.5940000000000003</v>
      </c>
      <c r="F23" s="6">
        <v>4.2220000000000004</v>
      </c>
      <c r="G23" s="7">
        <v>-4.5199999999999997E-2</v>
      </c>
      <c r="I23" s="15">
        <f>I22+1</f>
        <v>2021</v>
      </c>
      <c r="J23" s="7">
        <f t="shared" si="0"/>
        <v>7.8166666666666679E-3</v>
      </c>
    </row>
    <row r="24" spans="2:10" x14ac:dyDescent="0.3">
      <c r="B24" s="12">
        <v>45301</v>
      </c>
      <c r="C24" s="6">
        <v>4.4450000000000003</v>
      </c>
      <c r="D24" s="6">
        <v>4.0060000000000002</v>
      </c>
      <c r="E24" s="6">
        <v>4.5259999999999998</v>
      </c>
      <c r="F24" s="6">
        <v>3.915</v>
      </c>
      <c r="G24" s="7">
        <v>0.10929999999999999</v>
      </c>
      <c r="I24" s="15">
        <f t="shared" si="1"/>
        <v>2022</v>
      </c>
      <c r="J24" s="7">
        <f t="shared" si="0"/>
        <v>2.4735833333333335E-2</v>
      </c>
    </row>
    <row r="25" spans="2:10" x14ac:dyDescent="0.3">
      <c r="B25" s="12">
        <v>45300</v>
      </c>
      <c r="C25" s="6">
        <v>4.0069999999999997</v>
      </c>
      <c r="D25" s="6">
        <v>4.0439999999999996</v>
      </c>
      <c r="E25" s="6">
        <v>4.0629999999999997</v>
      </c>
      <c r="F25" s="6">
        <v>3.7309999999999999</v>
      </c>
      <c r="G25" s="7">
        <v>-2.2000000000000001E-3</v>
      </c>
      <c r="I25" s="15">
        <f t="shared" si="1"/>
        <v>2023</v>
      </c>
      <c r="J25" s="7">
        <f t="shared" si="0"/>
        <v>4.0231666666666673E-2</v>
      </c>
    </row>
    <row r="26" spans="2:10" x14ac:dyDescent="0.3">
      <c r="B26" s="12">
        <v>45299</v>
      </c>
      <c r="C26" s="6">
        <v>4.016</v>
      </c>
      <c r="D26" s="6">
        <v>3.9390000000000001</v>
      </c>
      <c r="E26" s="6">
        <v>4.03</v>
      </c>
      <c r="F26" s="6">
        <v>3.742</v>
      </c>
      <c r="G26" s="7">
        <v>1.1299999999999999E-2</v>
      </c>
      <c r="I26" s="15">
        <f t="shared" si="1"/>
        <v>2024</v>
      </c>
      <c r="J26" s="7">
        <f t="shared" si="0"/>
        <v>4.1634999999999998E-2</v>
      </c>
    </row>
    <row r="27" spans="2:10" x14ac:dyDescent="0.3">
      <c r="B27" s="12">
        <v>45298</v>
      </c>
      <c r="C27" s="6">
        <v>3.9710000000000001</v>
      </c>
      <c r="D27" s="6">
        <v>4.2069999999999999</v>
      </c>
      <c r="E27" s="6">
        <v>4.2930000000000001</v>
      </c>
      <c r="F27" s="6">
        <v>3.9689999999999999</v>
      </c>
      <c r="G27" s="7">
        <v>-4.9099999999999998E-2</v>
      </c>
      <c r="I27" s="15">
        <f>I26+1</f>
        <v>2025</v>
      </c>
      <c r="J27" s="7">
        <f t="shared" si="0"/>
        <v>4.548375000000001E-2</v>
      </c>
    </row>
    <row r="28" spans="2:10" x14ac:dyDescent="0.3">
      <c r="B28" s="12">
        <v>45297</v>
      </c>
      <c r="C28" s="6">
        <v>4.1760000000000002</v>
      </c>
      <c r="D28" s="6">
        <v>4.306</v>
      </c>
      <c r="E28" s="6">
        <v>4.335</v>
      </c>
      <c r="F28" s="6">
        <v>4.0030000000000001</v>
      </c>
      <c r="G28" s="7">
        <v>-3.4200000000000001E-2</v>
      </c>
      <c r="I28" s="18">
        <f t="shared" si="1"/>
        <v>2026</v>
      </c>
      <c r="J28" s="9">
        <f t="shared" si="0"/>
        <v>4.7501571428571428E-2</v>
      </c>
    </row>
    <row r="29" spans="2:10" x14ac:dyDescent="0.3">
      <c r="B29" s="12">
        <v>45296</v>
      </c>
      <c r="C29" s="6">
        <v>4.3239999999999998</v>
      </c>
      <c r="D29" s="6">
        <v>4.3659999999999997</v>
      </c>
      <c r="E29" s="6">
        <v>4.4089999999999998</v>
      </c>
      <c r="F29" s="6">
        <v>4.0460000000000003</v>
      </c>
      <c r="G29" s="7">
        <v>-6.1999999999999998E-3</v>
      </c>
    </row>
    <row r="30" spans="2:10" x14ac:dyDescent="0.3">
      <c r="B30" s="12">
        <v>45295</v>
      </c>
      <c r="C30" s="6">
        <v>4.351</v>
      </c>
      <c r="D30" s="6">
        <v>4.0279999999999996</v>
      </c>
      <c r="E30" s="6">
        <v>4.3959999999999999</v>
      </c>
      <c r="F30" s="6">
        <v>3.9809999999999999</v>
      </c>
      <c r="G30" s="7">
        <v>0.10489999999999999</v>
      </c>
    </row>
    <row r="31" spans="2:10" x14ac:dyDescent="0.3">
      <c r="B31" s="12">
        <v>45294</v>
      </c>
      <c r="C31" s="6">
        <v>3.9380000000000002</v>
      </c>
      <c r="D31" s="6">
        <v>4.1520000000000001</v>
      </c>
      <c r="E31" s="6">
        <v>4.1959999999999997</v>
      </c>
      <c r="F31" s="6">
        <v>3.8929999999999998</v>
      </c>
      <c r="G31" s="7">
        <v>-4.5600000000000002E-2</v>
      </c>
    </row>
    <row r="32" spans="2:10" x14ac:dyDescent="0.3">
      <c r="B32" s="12">
        <v>45293</v>
      </c>
      <c r="C32" s="6">
        <v>4.1260000000000003</v>
      </c>
      <c r="D32" s="6">
        <v>3.82</v>
      </c>
      <c r="E32" s="6">
        <v>4.2679999999999998</v>
      </c>
      <c r="F32" s="6">
        <v>3.7250000000000001</v>
      </c>
      <c r="G32" s="7">
        <v>8.6400000000000005E-2</v>
      </c>
    </row>
    <row r="33" spans="2:7" x14ac:dyDescent="0.3">
      <c r="B33" s="12">
        <v>45292</v>
      </c>
      <c r="C33" s="6">
        <v>3.798</v>
      </c>
      <c r="D33" s="6">
        <v>3.6070000000000002</v>
      </c>
      <c r="E33" s="6">
        <v>4.07</v>
      </c>
      <c r="F33" s="6">
        <v>3.589</v>
      </c>
      <c r="G33" s="7">
        <v>7.3200000000000001E-2</v>
      </c>
    </row>
    <row r="34" spans="2:7" x14ac:dyDescent="0.3">
      <c r="B34" s="12">
        <v>44938</v>
      </c>
      <c r="C34" s="6">
        <v>3.5390000000000001</v>
      </c>
      <c r="D34" s="6">
        <v>4.1929999999999996</v>
      </c>
      <c r="E34" s="6">
        <v>4.218</v>
      </c>
      <c r="F34" s="6">
        <v>3.4329999999999998</v>
      </c>
      <c r="G34" s="7">
        <v>-0.1525</v>
      </c>
    </row>
    <row r="35" spans="2:7" x14ac:dyDescent="0.3">
      <c r="B35" s="12">
        <v>44937</v>
      </c>
      <c r="C35" s="6">
        <v>4.1760000000000002</v>
      </c>
      <c r="D35" s="6">
        <v>4.5579999999999998</v>
      </c>
      <c r="E35" s="6">
        <v>4.5640000000000001</v>
      </c>
      <c r="F35" s="6">
        <v>4.0279999999999996</v>
      </c>
      <c r="G35" s="7">
        <v>-7.5700000000000003E-2</v>
      </c>
    </row>
    <row r="36" spans="2:7" x14ac:dyDescent="0.3">
      <c r="B36" s="12">
        <v>44936</v>
      </c>
      <c r="C36" s="6">
        <v>4.5179999999999998</v>
      </c>
      <c r="D36" s="6">
        <v>4.47</v>
      </c>
      <c r="E36" s="6">
        <v>4.7430000000000003</v>
      </c>
      <c r="F36" s="6">
        <v>4.2839999999999998</v>
      </c>
      <c r="G36" s="7">
        <v>1.6E-2</v>
      </c>
    </row>
    <row r="37" spans="2:7" x14ac:dyDescent="0.3">
      <c r="B37" s="12">
        <v>44935</v>
      </c>
      <c r="C37" s="6">
        <v>4.4470000000000001</v>
      </c>
      <c r="D37" s="6">
        <v>4.3860000000000001</v>
      </c>
      <c r="E37" s="6">
        <v>4.5650000000000004</v>
      </c>
      <c r="F37" s="6">
        <v>4.2130000000000001</v>
      </c>
      <c r="G37" s="7">
        <v>0.02</v>
      </c>
    </row>
    <row r="38" spans="2:7" x14ac:dyDescent="0.3">
      <c r="B38" s="12">
        <v>44934</v>
      </c>
      <c r="C38" s="6">
        <v>4.3600000000000003</v>
      </c>
      <c r="D38" s="6">
        <v>4.3</v>
      </c>
      <c r="E38" s="6">
        <v>4.7549999999999999</v>
      </c>
      <c r="F38" s="6">
        <v>4.2949999999999999</v>
      </c>
      <c r="G38" s="7">
        <v>1.21E-2</v>
      </c>
    </row>
    <row r="39" spans="2:7" x14ac:dyDescent="0.3">
      <c r="B39" s="12">
        <v>44933</v>
      </c>
      <c r="C39" s="6">
        <v>4.3079999999999998</v>
      </c>
      <c r="D39" s="6">
        <v>4.3849999999999998</v>
      </c>
      <c r="E39" s="6">
        <v>4.7169999999999996</v>
      </c>
      <c r="F39" s="6">
        <v>4.1379999999999999</v>
      </c>
      <c r="G39" s="7">
        <v>-1.7999999999999999E-2</v>
      </c>
    </row>
    <row r="40" spans="2:7" x14ac:dyDescent="0.3">
      <c r="B40" s="12">
        <v>44932</v>
      </c>
      <c r="C40" s="6">
        <v>4.3869999999999996</v>
      </c>
      <c r="D40" s="6">
        <v>4.2050000000000001</v>
      </c>
      <c r="E40" s="6">
        <v>4.4980000000000002</v>
      </c>
      <c r="F40" s="6">
        <v>4.0919999999999996</v>
      </c>
      <c r="G40" s="7">
        <v>4.9799999999999997E-2</v>
      </c>
    </row>
    <row r="41" spans="2:7" x14ac:dyDescent="0.3">
      <c r="B41" s="12">
        <v>44931</v>
      </c>
      <c r="C41" s="6">
        <v>4.1790000000000003</v>
      </c>
      <c r="D41" s="6">
        <v>3.823</v>
      </c>
      <c r="E41" s="6">
        <v>4.4329999999999998</v>
      </c>
      <c r="F41" s="6">
        <v>3.6150000000000002</v>
      </c>
      <c r="G41" s="7">
        <v>0.1246</v>
      </c>
    </row>
    <row r="42" spans="2:7" x14ac:dyDescent="0.3">
      <c r="B42" s="12">
        <v>44930</v>
      </c>
      <c r="C42" s="6">
        <v>3.7160000000000002</v>
      </c>
      <c r="D42" s="6">
        <v>3.5049999999999999</v>
      </c>
      <c r="E42" s="6">
        <v>3.8769999999999998</v>
      </c>
      <c r="F42" s="6">
        <v>3.3730000000000002</v>
      </c>
      <c r="G42" s="7">
        <v>6.4799999999999996E-2</v>
      </c>
    </row>
    <row r="43" spans="2:7" x14ac:dyDescent="0.3">
      <c r="B43" s="12">
        <v>44929</v>
      </c>
      <c r="C43" s="6">
        <v>3.49</v>
      </c>
      <c r="D43" s="6">
        <v>3.863</v>
      </c>
      <c r="E43" s="6">
        <v>3.8919999999999999</v>
      </c>
      <c r="F43" s="6">
        <v>3.13</v>
      </c>
      <c r="G43" s="7">
        <v>-8.7300000000000003E-2</v>
      </c>
    </row>
    <row r="44" spans="2:7" x14ac:dyDescent="0.3">
      <c r="B44" s="12">
        <v>44928</v>
      </c>
      <c r="C44" s="6">
        <v>3.8239999999999998</v>
      </c>
      <c r="D44" s="6">
        <v>3.3130000000000002</v>
      </c>
      <c r="E44" s="6">
        <v>3.89</v>
      </c>
      <c r="F44" s="6">
        <v>2.996</v>
      </c>
      <c r="G44" s="7">
        <v>0.14699999999999999</v>
      </c>
    </row>
    <row r="45" spans="2:7" x14ac:dyDescent="0.3">
      <c r="B45" s="12">
        <v>44927</v>
      </c>
      <c r="C45" s="6">
        <v>3.3340000000000001</v>
      </c>
      <c r="D45" s="6">
        <v>3.6219999999999999</v>
      </c>
      <c r="E45" s="6">
        <v>3.6709999999999998</v>
      </c>
      <c r="F45" s="6">
        <v>3.177</v>
      </c>
      <c r="G45" s="7">
        <v>-9.1300000000000006E-2</v>
      </c>
    </row>
    <row r="46" spans="2:7" x14ac:dyDescent="0.3">
      <c r="B46" s="12">
        <v>44573</v>
      </c>
      <c r="C46" s="6">
        <v>3.669</v>
      </c>
      <c r="D46" s="6">
        <v>3.0840000000000001</v>
      </c>
      <c r="E46" s="6">
        <v>3.7610000000000001</v>
      </c>
      <c r="F46" s="6">
        <v>3.0070000000000001</v>
      </c>
      <c r="G46" s="7">
        <v>0.16</v>
      </c>
    </row>
    <row r="47" spans="2:7" x14ac:dyDescent="0.3">
      <c r="B47" s="12">
        <v>44572</v>
      </c>
      <c r="C47" s="6">
        <v>3.1629999999999998</v>
      </c>
      <c r="D47" s="6">
        <v>3.4860000000000002</v>
      </c>
      <c r="E47" s="6">
        <v>3.6890000000000001</v>
      </c>
      <c r="F47" s="6">
        <v>2.899</v>
      </c>
      <c r="G47" s="7">
        <v>-0.1022</v>
      </c>
    </row>
    <row r="48" spans="2:7" x14ac:dyDescent="0.3">
      <c r="B48" s="12">
        <v>44571</v>
      </c>
      <c r="C48" s="6">
        <v>3.5230000000000001</v>
      </c>
      <c r="D48" s="6">
        <v>4.0529999999999999</v>
      </c>
      <c r="E48" s="6">
        <v>4.6319999999999997</v>
      </c>
      <c r="F48" s="6">
        <v>3.3780000000000001</v>
      </c>
      <c r="G48" s="7">
        <v>-0.1399</v>
      </c>
    </row>
    <row r="49" spans="2:7" x14ac:dyDescent="0.3">
      <c r="B49" s="12">
        <v>44570</v>
      </c>
      <c r="C49" s="6">
        <v>4.0960000000000001</v>
      </c>
      <c r="D49" s="6">
        <v>2.8610000000000002</v>
      </c>
      <c r="E49" s="6">
        <v>4.5819999999999999</v>
      </c>
      <c r="F49" s="6">
        <v>2.8239999999999998</v>
      </c>
      <c r="G49" s="7">
        <v>0.46339999999999998</v>
      </c>
    </row>
    <row r="50" spans="2:7" x14ac:dyDescent="0.3">
      <c r="B50" s="12">
        <v>44569</v>
      </c>
      <c r="C50" s="6">
        <v>2.7989999999999999</v>
      </c>
      <c r="D50" s="6">
        <v>1.883</v>
      </c>
      <c r="E50" s="6">
        <v>2.8740000000000001</v>
      </c>
      <c r="F50" s="6">
        <v>1.7110000000000001</v>
      </c>
      <c r="G50" s="7">
        <v>0.51049999999999995</v>
      </c>
    </row>
    <row r="51" spans="2:7" x14ac:dyDescent="0.3">
      <c r="B51" s="12">
        <v>44568</v>
      </c>
      <c r="C51" s="6">
        <v>1.853</v>
      </c>
      <c r="D51" s="6">
        <v>2.214</v>
      </c>
      <c r="E51" s="6">
        <v>2.2810000000000001</v>
      </c>
      <c r="F51" s="6">
        <v>1.84</v>
      </c>
      <c r="G51" s="7">
        <v>-0.17280000000000001</v>
      </c>
    </row>
    <row r="52" spans="2:7" x14ac:dyDescent="0.3">
      <c r="B52" s="12">
        <v>44567</v>
      </c>
      <c r="C52" s="6">
        <v>2.2400000000000002</v>
      </c>
      <c r="D52" s="6">
        <v>2.12</v>
      </c>
      <c r="E52" s="6">
        <v>2.7450000000000001</v>
      </c>
      <c r="F52" s="6">
        <v>2.097</v>
      </c>
      <c r="G52" s="7">
        <v>6.6699999999999995E-2</v>
      </c>
    </row>
    <row r="53" spans="2:7" x14ac:dyDescent="0.3">
      <c r="B53" s="12">
        <v>44566</v>
      </c>
      <c r="C53" s="6">
        <v>2.1</v>
      </c>
      <c r="D53" s="6">
        <v>1.8620000000000001</v>
      </c>
      <c r="E53" s="6">
        <v>2.125</v>
      </c>
      <c r="F53" s="6">
        <v>1.6679999999999999</v>
      </c>
      <c r="G53" s="7">
        <v>0.10009999999999999</v>
      </c>
    </row>
    <row r="54" spans="2:7" x14ac:dyDescent="0.3">
      <c r="B54" s="12">
        <v>44565</v>
      </c>
      <c r="C54" s="6">
        <v>1.909</v>
      </c>
      <c r="D54" s="6">
        <v>1.647</v>
      </c>
      <c r="E54" s="6">
        <v>2.0230000000000001</v>
      </c>
      <c r="F54" s="6">
        <v>1.5269999999999999</v>
      </c>
      <c r="G54" s="7">
        <v>0.18790000000000001</v>
      </c>
    </row>
    <row r="55" spans="2:7" x14ac:dyDescent="0.3">
      <c r="B55" s="12">
        <v>44564</v>
      </c>
      <c r="C55" s="6">
        <v>1.607</v>
      </c>
      <c r="D55" s="6">
        <v>1.3979999999999999</v>
      </c>
      <c r="E55" s="6">
        <v>1.75</v>
      </c>
      <c r="F55" s="6">
        <v>1.105</v>
      </c>
      <c r="G55" s="7">
        <v>0.13569999999999999</v>
      </c>
    </row>
    <row r="56" spans="2:7" x14ac:dyDescent="0.3">
      <c r="B56" s="12">
        <v>44563</v>
      </c>
      <c r="C56" s="6">
        <v>1.415</v>
      </c>
      <c r="D56" s="6">
        <v>1.3069999999999999</v>
      </c>
      <c r="E56" s="6">
        <v>1.607</v>
      </c>
      <c r="F56" s="6">
        <v>1.2470000000000001</v>
      </c>
      <c r="G56" s="7">
        <v>8.1000000000000003E-2</v>
      </c>
    </row>
    <row r="57" spans="2:7" x14ac:dyDescent="0.3">
      <c r="B57" s="12">
        <v>44562</v>
      </c>
      <c r="C57" s="6">
        <v>1.3089999999999999</v>
      </c>
      <c r="D57" s="6">
        <v>0.97399999999999998</v>
      </c>
      <c r="E57" s="6">
        <v>1.3140000000000001</v>
      </c>
      <c r="F57" s="6">
        <v>0.94599999999999995</v>
      </c>
      <c r="G57" s="7">
        <v>0.34670000000000001</v>
      </c>
    </row>
    <row r="58" spans="2:7" x14ac:dyDescent="0.3">
      <c r="B58" s="12">
        <v>44208</v>
      </c>
      <c r="C58" s="6">
        <v>0.97199999999999998</v>
      </c>
      <c r="D58" s="6">
        <v>0.83</v>
      </c>
      <c r="E58" s="6">
        <v>1.0269999999999999</v>
      </c>
      <c r="F58" s="6">
        <v>0.68100000000000005</v>
      </c>
      <c r="G58" s="7">
        <v>0.19850000000000001</v>
      </c>
    </row>
    <row r="59" spans="2:7" x14ac:dyDescent="0.3">
      <c r="B59" s="12">
        <v>44207</v>
      </c>
      <c r="C59" s="6">
        <v>0.81100000000000005</v>
      </c>
      <c r="D59" s="6">
        <v>1.042</v>
      </c>
      <c r="E59" s="6">
        <v>1.117</v>
      </c>
      <c r="F59" s="6">
        <v>0.77800000000000002</v>
      </c>
      <c r="G59" s="7">
        <v>-0.21410000000000001</v>
      </c>
    </row>
    <row r="60" spans="2:7" x14ac:dyDescent="0.3">
      <c r="B60" s="12">
        <v>44206</v>
      </c>
      <c r="C60" s="6">
        <v>1.032</v>
      </c>
      <c r="D60" s="6">
        <v>0.99</v>
      </c>
      <c r="E60" s="6">
        <v>1.2190000000000001</v>
      </c>
      <c r="F60" s="6">
        <v>0.96399999999999997</v>
      </c>
      <c r="G60" s="7">
        <v>9.7999999999999997E-3</v>
      </c>
    </row>
    <row r="61" spans="2:7" x14ac:dyDescent="0.3">
      <c r="B61" s="12">
        <v>44205</v>
      </c>
      <c r="C61" s="6">
        <v>1.022</v>
      </c>
      <c r="D61" s="6">
        <v>0.72099999999999997</v>
      </c>
      <c r="E61" s="6">
        <v>1.0660000000000001</v>
      </c>
      <c r="F61" s="6">
        <v>0.66900000000000004</v>
      </c>
      <c r="G61" s="7">
        <v>0.6431</v>
      </c>
    </row>
    <row r="62" spans="2:7" x14ac:dyDescent="0.3">
      <c r="B62" s="12">
        <v>44204</v>
      </c>
      <c r="C62" s="6">
        <v>0.622</v>
      </c>
      <c r="D62" s="6">
        <v>0.57199999999999995</v>
      </c>
      <c r="E62" s="6">
        <v>0.63</v>
      </c>
      <c r="F62" s="6">
        <v>0.48</v>
      </c>
      <c r="G62" s="7">
        <v>9.8900000000000002E-2</v>
      </c>
    </row>
    <row r="63" spans="2:7" x14ac:dyDescent="0.3">
      <c r="B63" s="12">
        <v>44203</v>
      </c>
      <c r="C63" s="6">
        <v>0.56599999999999995</v>
      </c>
      <c r="D63" s="6">
        <v>0.73399999999999999</v>
      </c>
      <c r="E63" s="6">
        <v>0.749</v>
      </c>
      <c r="F63" s="6">
        <v>0.5</v>
      </c>
      <c r="G63" s="7">
        <v>-0.2117</v>
      </c>
    </row>
    <row r="64" spans="2:7" x14ac:dyDescent="0.3">
      <c r="B64" s="12">
        <v>44202</v>
      </c>
      <c r="C64" s="6">
        <v>0.71799999999999997</v>
      </c>
      <c r="D64" s="6">
        <v>0.80500000000000005</v>
      </c>
      <c r="E64" s="6">
        <v>0.84599999999999997</v>
      </c>
      <c r="F64" s="6">
        <v>0.69099999999999995</v>
      </c>
      <c r="G64" s="7">
        <v>-9.8000000000000004E-2</v>
      </c>
    </row>
    <row r="65" spans="2:7" x14ac:dyDescent="0.3">
      <c r="B65" s="12">
        <v>44201</v>
      </c>
      <c r="C65" s="6">
        <v>0.79600000000000004</v>
      </c>
      <c r="D65" s="6">
        <v>0.83699999999999997</v>
      </c>
      <c r="E65" s="6">
        <v>0.92500000000000004</v>
      </c>
      <c r="F65" s="6">
        <v>0.73799999999999999</v>
      </c>
      <c r="G65" s="7">
        <v>-5.5800000000000002E-2</v>
      </c>
    </row>
    <row r="66" spans="2:7" x14ac:dyDescent="0.3">
      <c r="B66" s="12">
        <v>44200</v>
      </c>
      <c r="C66" s="6">
        <v>0.84299999999999997</v>
      </c>
      <c r="D66" s="6">
        <v>0.86</v>
      </c>
      <c r="E66" s="6">
        <v>0.86799999999999999</v>
      </c>
      <c r="F66" s="6">
        <v>0.71299999999999997</v>
      </c>
      <c r="G66" s="7">
        <v>-3.5000000000000001E-3</v>
      </c>
    </row>
    <row r="67" spans="2:7" x14ac:dyDescent="0.3">
      <c r="B67" s="12">
        <v>44199</v>
      </c>
      <c r="C67" s="6">
        <v>0.84599999999999997</v>
      </c>
      <c r="D67" s="6">
        <v>0.79200000000000004</v>
      </c>
      <c r="E67" s="6">
        <v>0.90800000000000003</v>
      </c>
      <c r="F67" s="6">
        <v>0.68100000000000005</v>
      </c>
      <c r="G67" s="7">
        <v>2.7900000000000001E-2</v>
      </c>
    </row>
    <row r="68" spans="2:7" x14ac:dyDescent="0.3">
      <c r="B68" s="12">
        <v>44198</v>
      </c>
      <c r="C68" s="6">
        <v>0.82299999999999995</v>
      </c>
      <c r="D68" s="6">
        <v>0.32300000000000001</v>
      </c>
      <c r="E68" s="6">
        <v>0.83599999999999997</v>
      </c>
      <c r="F68" s="6">
        <v>0.32</v>
      </c>
      <c r="G68" s="7">
        <v>1.5015000000000001</v>
      </c>
    </row>
    <row r="69" spans="2:7" x14ac:dyDescent="0.3">
      <c r="B69" s="12">
        <v>44197</v>
      </c>
      <c r="C69" s="6">
        <v>0.32900000000000001</v>
      </c>
      <c r="D69" s="6">
        <v>0.20699999999999999</v>
      </c>
      <c r="E69" s="6">
        <v>0.36599999999999999</v>
      </c>
      <c r="F69" s="6">
        <v>0.156</v>
      </c>
      <c r="G69" s="7">
        <v>0.67859999999999998</v>
      </c>
    </row>
    <row r="70" spans="2:7" x14ac:dyDescent="0.3">
      <c r="B70" s="12">
        <v>43842</v>
      </c>
      <c r="C70" s="6">
        <v>0.19600000000000001</v>
      </c>
      <c r="D70" s="6">
        <v>0.307</v>
      </c>
      <c r="E70" s="6">
        <v>0.37</v>
      </c>
      <c r="F70" s="6">
        <v>0.155</v>
      </c>
      <c r="G70" s="7">
        <v>-0.35949999999999999</v>
      </c>
    </row>
    <row r="71" spans="2:7" x14ac:dyDescent="0.3">
      <c r="B71" s="12">
        <v>43841</v>
      </c>
      <c r="C71" s="6">
        <v>0.30599999999999999</v>
      </c>
      <c r="D71" s="6">
        <v>0.255</v>
      </c>
      <c r="E71" s="6">
        <v>0.441</v>
      </c>
      <c r="F71" s="6">
        <v>0.17299999999999999</v>
      </c>
      <c r="G71" s="7">
        <v>0.16350000000000001</v>
      </c>
    </row>
    <row r="72" spans="2:7" x14ac:dyDescent="0.3">
      <c r="B72" s="12">
        <v>43840</v>
      </c>
      <c r="C72" s="6">
        <v>0.26300000000000001</v>
      </c>
      <c r="D72" s="6">
        <v>0.23799999999999999</v>
      </c>
      <c r="E72" s="6">
        <v>0.315</v>
      </c>
      <c r="F72" s="6">
        <v>0.152</v>
      </c>
      <c r="G72" s="7">
        <v>0.1336</v>
      </c>
    </row>
    <row r="73" spans="2:7" x14ac:dyDescent="0.3">
      <c r="B73" s="12">
        <v>43839</v>
      </c>
      <c r="C73" s="6">
        <v>0.23200000000000001</v>
      </c>
      <c r="D73" s="6">
        <v>0.313</v>
      </c>
      <c r="E73" s="6">
        <v>0.34899999999999998</v>
      </c>
      <c r="F73" s="6">
        <v>0.14299999999999999</v>
      </c>
      <c r="G73" s="7">
        <v>-0.25879999999999997</v>
      </c>
    </row>
    <row r="74" spans="2:7" x14ac:dyDescent="0.3">
      <c r="B74" s="12">
        <v>43838</v>
      </c>
      <c r="C74" s="6">
        <v>0.313</v>
      </c>
      <c r="D74" s="6">
        <v>0.107</v>
      </c>
      <c r="E74" s="6">
        <v>0.372</v>
      </c>
      <c r="F74" s="6">
        <v>6.5000000000000002E-2</v>
      </c>
      <c r="G74" s="7">
        <v>1.9810000000000001</v>
      </c>
    </row>
    <row r="75" spans="2:7" x14ac:dyDescent="0.3">
      <c r="B75" s="12">
        <v>43837</v>
      </c>
      <c r="C75" s="6">
        <v>0.105</v>
      </c>
      <c r="D75" s="6">
        <v>0.20399999999999999</v>
      </c>
      <c r="E75" s="6">
        <v>0.22600000000000001</v>
      </c>
      <c r="F75" s="6">
        <v>7.0000000000000007E-2</v>
      </c>
      <c r="G75" s="7">
        <v>-0.38950000000000001</v>
      </c>
    </row>
    <row r="76" spans="2:7" x14ac:dyDescent="0.3">
      <c r="B76" s="12">
        <v>43836</v>
      </c>
      <c r="C76" s="6">
        <v>0.17199999999999999</v>
      </c>
      <c r="D76" s="6">
        <v>0.19500000000000001</v>
      </c>
      <c r="E76" s="6">
        <v>0.376</v>
      </c>
      <c r="F76" s="6">
        <v>0.13800000000000001</v>
      </c>
      <c r="G76" s="7">
        <v>-7.0300000000000001E-2</v>
      </c>
    </row>
    <row r="77" spans="2:7" x14ac:dyDescent="0.3">
      <c r="B77" s="12">
        <v>43835</v>
      </c>
      <c r="C77" s="6">
        <v>0.185</v>
      </c>
      <c r="D77" s="6">
        <v>0.23499999999999999</v>
      </c>
      <c r="E77" s="6">
        <v>0.29499999999999998</v>
      </c>
      <c r="F77" s="6">
        <v>0.13400000000000001</v>
      </c>
      <c r="G77" s="7">
        <v>-0.185</v>
      </c>
    </row>
    <row r="78" spans="2:7" x14ac:dyDescent="0.3">
      <c r="B78" s="12">
        <v>43834</v>
      </c>
      <c r="C78" s="6">
        <v>0.22700000000000001</v>
      </c>
      <c r="D78" s="6">
        <v>0.31</v>
      </c>
      <c r="E78" s="6">
        <v>0.41399999999999998</v>
      </c>
      <c r="F78" s="6">
        <v>0.22700000000000001</v>
      </c>
      <c r="G78" s="7">
        <v>-0.36059999999999998</v>
      </c>
    </row>
    <row r="79" spans="2:7" x14ac:dyDescent="0.3">
      <c r="B79" s="12">
        <v>43833</v>
      </c>
      <c r="C79" s="6">
        <v>0.35499999999999998</v>
      </c>
      <c r="D79" s="6">
        <v>0.45600000000000002</v>
      </c>
      <c r="E79" s="6">
        <v>1.0580000000000001</v>
      </c>
      <c r="F79" s="6">
        <v>7.3999999999999996E-2</v>
      </c>
      <c r="G79" s="7">
        <v>-0.19320000000000001</v>
      </c>
    </row>
    <row r="80" spans="2:7" x14ac:dyDescent="0.3">
      <c r="B80" s="12">
        <v>43832</v>
      </c>
      <c r="C80" s="6">
        <v>0.44</v>
      </c>
      <c r="D80" s="6">
        <v>0.52500000000000002</v>
      </c>
      <c r="E80" s="6">
        <v>0.66</v>
      </c>
      <c r="F80" s="6">
        <v>0.39800000000000002</v>
      </c>
      <c r="G80" s="7">
        <v>-0.16350000000000001</v>
      </c>
    </row>
    <row r="81" spans="2:7" x14ac:dyDescent="0.3">
      <c r="B81" s="12">
        <v>43831</v>
      </c>
      <c r="C81" s="6">
        <v>0.52600000000000002</v>
      </c>
      <c r="D81" s="6">
        <v>0.86799999999999999</v>
      </c>
      <c r="E81" s="6">
        <v>0.877</v>
      </c>
      <c r="F81" s="6">
        <v>0.47499999999999998</v>
      </c>
      <c r="G81" s="7">
        <v>-0.3624</v>
      </c>
    </row>
    <row r="82" spans="2:7" x14ac:dyDescent="0.3">
      <c r="B82" s="12">
        <v>43477</v>
      </c>
      <c r="C82" s="6">
        <v>0.82499999999999996</v>
      </c>
      <c r="D82" s="6">
        <v>0.72</v>
      </c>
      <c r="E82" s="6">
        <v>0.89500000000000002</v>
      </c>
      <c r="F82" s="6">
        <v>0.65200000000000002</v>
      </c>
      <c r="G82" s="7">
        <v>0.17860000000000001</v>
      </c>
    </row>
    <row r="83" spans="2:7" x14ac:dyDescent="0.3">
      <c r="B83" s="12">
        <v>43476</v>
      </c>
      <c r="C83" s="6">
        <v>0.7</v>
      </c>
      <c r="D83" s="6">
        <v>0.63100000000000001</v>
      </c>
      <c r="E83" s="6">
        <v>0.83299999999999996</v>
      </c>
      <c r="F83" s="6">
        <v>0.62</v>
      </c>
      <c r="G83" s="7">
        <v>0.1094</v>
      </c>
    </row>
    <row r="84" spans="2:7" x14ac:dyDescent="0.3">
      <c r="B84" s="12">
        <v>43475</v>
      </c>
      <c r="C84" s="6">
        <v>0.63100000000000001</v>
      </c>
      <c r="D84" s="6">
        <v>0.5</v>
      </c>
      <c r="E84" s="6">
        <v>0.79300000000000004</v>
      </c>
      <c r="F84" s="6">
        <v>0.40699999999999997</v>
      </c>
      <c r="G84" s="7">
        <v>0.2984</v>
      </c>
    </row>
    <row r="85" spans="2:7" x14ac:dyDescent="0.3">
      <c r="B85" s="12">
        <v>43474</v>
      </c>
      <c r="C85" s="6">
        <v>0.48599999999999999</v>
      </c>
      <c r="D85" s="6">
        <v>0.48099999999999998</v>
      </c>
      <c r="E85" s="6">
        <v>0.76700000000000002</v>
      </c>
      <c r="F85" s="6">
        <v>0.34100000000000003</v>
      </c>
      <c r="G85" s="7">
        <v>1.46E-2</v>
      </c>
    </row>
    <row r="86" spans="2:7" x14ac:dyDescent="0.3">
      <c r="B86" s="12">
        <v>43473</v>
      </c>
      <c r="C86" s="6">
        <v>0.47899999999999998</v>
      </c>
      <c r="D86" s="6">
        <v>0.624</v>
      </c>
      <c r="E86" s="6">
        <v>0.63200000000000001</v>
      </c>
      <c r="F86" s="6">
        <v>0.40500000000000003</v>
      </c>
      <c r="G86" s="7">
        <v>-0.2135</v>
      </c>
    </row>
    <row r="87" spans="2:7" x14ac:dyDescent="0.3">
      <c r="B87" s="12">
        <v>43472</v>
      </c>
      <c r="C87" s="6">
        <v>0.60899999999999999</v>
      </c>
      <c r="D87" s="6">
        <v>0.85499999999999998</v>
      </c>
      <c r="E87" s="6">
        <v>0.85799999999999998</v>
      </c>
      <c r="F87" s="6">
        <v>0.60799999999999998</v>
      </c>
      <c r="G87" s="7">
        <v>-0.26800000000000002</v>
      </c>
    </row>
    <row r="88" spans="2:7" x14ac:dyDescent="0.3">
      <c r="B88" s="12">
        <v>43471</v>
      </c>
      <c r="C88" s="6">
        <v>0.83199999999999996</v>
      </c>
      <c r="D88" s="6">
        <v>0.879</v>
      </c>
      <c r="E88" s="6">
        <v>0.90700000000000003</v>
      </c>
      <c r="F88" s="6">
        <v>0.78500000000000003</v>
      </c>
      <c r="G88" s="7">
        <v>-6.3100000000000003E-2</v>
      </c>
    </row>
    <row r="89" spans="2:7" x14ac:dyDescent="0.3">
      <c r="B89" s="12">
        <v>43470</v>
      </c>
      <c r="C89" s="6">
        <v>0.88800000000000001</v>
      </c>
      <c r="D89" s="6">
        <v>1.1830000000000001</v>
      </c>
      <c r="E89" s="6">
        <v>1.224</v>
      </c>
      <c r="F89" s="6">
        <v>0.85399999999999998</v>
      </c>
      <c r="G89" s="7">
        <v>-0.25130000000000002</v>
      </c>
    </row>
    <row r="90" spans="2:7" x14ac:dyDescent="0.3">
      <c r="B90" s="12">
        <v>43469</v>
      </c>
      <c r="C90" s="6">
        <v>1.1859999999999999</v>
      </c>
      <c r="D90" s="6">
        <v>1.026</v>
      </c>
      <c r="E90" s="6">
        <v>1.248</v>
      </c>
      <c r="F90" s="6">
        <v>0.995</v>
      </c>
      <c r="G90" s="7">
        <v>0.1908</v>
      </c>
    </row>
    <row r="91" spans="2:7" x14ac:dyDescent="0.3">
      <c r="B91" s="12">
        <v>43468</v>
      </c>
      <c r="C91" s="6">
        <v>0.996</v>
      </c>
      <c r="D91" s="6">
        <v>1.3089999999999999</v>
      </c>
      <c r="E91" s="6">
        <v>1.3260000000000001</v>
      </c>
      <c r="F91" s="6">
        <v>0.96799999999999997</v>
      </c>
      <c r="G91" s="7">
        <v>-0.2356</v>
      </c>
    </row>
    <row r="92" spans="2:7" x14ac:dyDescent="0.3">
      <c r="B92" s="12">
        <v>43467</v>
      </c>
      <c r="C92" s="6">
        <v>1.3029999999999999</v>
      </c>
      <c r="D92" s="6">
        <v>1.2270000000000001</v>
      </c>
      <c r="E92" s="6">
        <v>1.3180000000000001</v>
      </c>
      <c r="F92" s="6">
        <v>1.1220000000000001</v>
      </c>
      <c r="G92" s="7">
        <v>6.8000000000000005E-2</v>
      </c>
    </row>
    <row r="93" spans="2:7" x14ac:dyDescent="0.3">
      <c r="B93" s="12">
        <v>43466</v>
      </c>
      <c r="C93" s="6">
        <v>1.22</v>
      </c>
      <c r="D93" s="6">
        <v>1.2490000000000001</v>
      </c>
      <c r="E93" s="6">
        <v>1.3759999999999999</v>
      </c>
      <c r="F93" s="6">
        <v>1.1759999999999999</v>
      </c>
      <c r="G93" s="7">
        <v>-3.8600000000000002E-2</v>
      </c>
    </row>
    <row r="94" spans="2:7" x14ac:dyDescent="0.3">
      <c r="B94" s="12">
        <v>43112</v>
      </c>
      <c r="C94" s="6">
        <v>1.2689999999999999</v>
      </c>
      <c r="D94" s="6">
        <v>1.3819999999999999</v>
      </c>
      <c r="E94" s="6">
        <v>1.3879999999999999</v>
      </c>
      <c r="F94" s="6">
        <v>1.1599999999999999</v>
      </c>
      <c r="G94" s="7">
        <v>-6.9599999999999995E-2</v>
      </c>
    </row>
    <row r="95" spans="2:7" x14ac:dyDescent="0.3">
      <c r="B95" s="12">
        <v>43111</v>
      </c>
      <c r="C95" s="6">
        <v>1.3640000000000001</v>
      </c>
      <c r="D95" s="6">
        <v>1.456</v>
      </c>
      <c r="E95" s="6">
        <v>1.569</v>
      </c>
      <c r="F95" s="6">
        <v>1.321</v>
      </c>
      <c r="G95" s="7">
        <v>-5.0799999999999998E-2</v>
      </c>
    </row>
    <row r="96" spans="2:7" x14ac:dyDescent="0.3">
      <c r="B96" s="12">
        <v>43110</v>
      </c>
      <c r="C96" s="6">
        <v>1.4370000000000001</v>
      </c>
      <c r="D96" s="6">
        <v>1.5780000000000001</v>
      </c>
      <c r="E96" s="6">
        <v>1.7490000000000001</v>
      </c>
      <c r="F96" s="6">
        <v>1.363</v>
      </c>
      <c r="G96" s="7">
        <v>-8.6999999999999994E-2</v>
      </c>
    </row>
    <row r="97" spans="2:7" x14ac:dyDescent="0.3">
      <c r="B97" s="12">
        <v>43109</v>
      </c>
      <c r="C97" s="6">
        <v>1.5740000000000001</v>
      </c>
      <c r="D97" s="6">
        <v>1.4350000000000001</v>
      </c>
      <c r="E97" s="6">
        <v>1.6419999999999999</v>
      </c>
      <c r="F97" s="6">
        <v>1.393</v>
      </c>
      <c r="G97" s="7">
        <v>0.10150000000000001</v>
      </c>
    </row>
    <row r="98" spans="2:7" x14ac:dyDescent="0.3">
      <c r="B98" s="12">
        <v>43108</v>
      </c>
      <c r="C98" s="6">
        <v>1.429</v>
      </c>
      <c r="D98" s="6">
        <v>1.351</v>
      </c>
      <c r="E98" s="6">
        <v>1.502</v>
      </c>
      <c r="F98" s="6">
        <v>1.198</v>
      </c>
      <c r="G98" s="7">
        <v>7.3599999999999999E-2</v>
      </c>
    </row>
    <row r="99" spans="2:7" x14ac:dyDescent="0.3">
      <c r="B99" s="12">
        <v>43107</v>
      </c>
      <c r="C99" s="6">
        <v>1.331</v>
      </c>
      <c r="D99" s="6">
        <v>1.2629999999999999</v>
      </c>
      <c r="E99" s="6">
        <v>1.361</v>
      </c>
      <c r="F99" s="6">
        <v>1.1679999999999999</v>
      </c>
      <c r="G99" s="7">
        <v>4.1500000000000002E-2</v>
      </c>
    </row>
    <row r="100" spans="2:7" x14ac:dyDescent="0.3">
      <c r="B100" s="12">
        <v>43106</v>
      </c>
      <c r="C100" s="6">
        <v>1.278</v>
      </c>
      <c r="D100" s="6">
        <v>1.2769999999999999</v>
      </c>
      <c r="E100" s="6">
        <v>1.44</v>
      </c>
      <c r="F100" s="6">
        <v>1.2350000000000001</v>
      </c>
      <c r="G100" s="7">
        <v>3.9899999999999998E-2</v>
      </c>
    </row>
    <row r="101" spans="2:7" x14ac:dyDescent="0.3">
      <c r="B101" s="12">
        <v>43105</v>
      </c>
      <c r="C101" s="6">
        <v>1.2290000000000001</v>
      </c>
      <c r="D101" s="6">
        <v>1.4239999999999999</v>
      </c>
      <c r="E101" s="6">
        <v>1.5649999999999999</v>
      </c>
      <c r="F101" s="6">
        <v>1.107</v>
      </c>
      <c r="G101" s="7">
        <v>-0.1333</v>
      </c>
    </row>
    <row r="102" spans="2:7" x14ac:dyDescent="0.3">
      <c r="B102" s="12">
        <v>43104</v>
      </c>
      <c r="C102" s="6">
        <v>1.4179999999999999</v>
      </c>
      <c r="D102" s="6">
        <v>1.337</v>
      </c>
      <c r="E102" s="6">
        <v>1.571</v>
      </c>
      <c r="F102" s="6">
        <v>1.3320000000000001</v>
      </c>
      <c r="G102" s="7">
        <v>5.04E-2</v>
      </c>
    </row>
    <row r="103" spans="2:7" x14ac:dyDescent="0.3">
      <c r="B103" s="12">
        <v>43103</v>
      </c>
      <c r="C103" s="6">
        <v>1.35</v>
      </c>
      <c r="D103" s="6">
        <v>1.5</v>
      </c>
      <c r="E103" s="6">
        <v>1.5669999999999999</v>
      </c>
      <c r="F103" s="6">
        <v>1.349</v>
      </c>
      <c r="G103" s="7">
        <v>-0.1012</v>
      </c>
    </row>
    <row r="104" spans="2:7" x14ac:dyDescent="0.3">
      <c r="B104" s="12">
        <v>43102</v>
      </c>
      <c r="C104" s="6">
        <v>1.502</v>
      </c>
      <c r="D104" s="6">
        <v>1.5269999999999999</v>
      </c>
      <c r="E104" s="6">
        <v>1.6910000000000001</v>
      </c>
      <c r="F104" s="6">
        <v>1.4850000000000001</v>
      </c>
      <c r="G104" s="7">
        <v>-6.6E-3</v>
      </c>
    </row>
    <row r="105" spans="2:7" x14ac:dyDescent="0.3">
      <c r="B105" s="12">
        <v>43101</v>
      </c>
      <c r="C105" s="6">
        <v>1.512</v>
      </c>
      <c r="D105" s="6">
        <v>1.206</v>
      </c>
      <c r="E105" s="6">
        <v>1.514</v>
      </c>
      <c r="F105" s="6">
        <v>1.2050000000000001</v>
      </c>
      <c r="G105" s="7">
        <v>0.2727</v>
      </c>
    </row>
    <row r="106" spans="2:7" x14ac:dyDescent="0.3">
      <c r="B106" s="12">
        <v>42747</v>
      </c>
      <c r="C106" s="6">
        <v>1.1879999999999999</v>
      </c>
      <c r="D106" s="6">
        <v>1.323</v>
      </c>
      <c r="E106" s="6">
        <v>1.33</v>
      </c>
      <c r="F106" s="6">
        <v>1.139</v>
      </c>
      <c r="G106" s="7">
        <v>-0.1074</v>
      </c>
    </row>
    <row r="107" spans="2:7" x14ac:dyDescent="0.3">
      <c r="B107" s="12">
        <v>42746</v>
      </c>
      <c r="C107" s="6">
        <v>1.331</v>
      </c>
      <c r="D107" s="6">
        <v>1.34</v>
      </c>
      <c r="E107" s="6">
        <v>1.3779999999999999</v>
      </c>
      <c r="F107" s="6">
        <v>1.196</v>
      </c>
      <c r="G107" s="7">
        <v>-1.5E-3</v>
      </c>
    </row>
    <row r="108" spans="2:7" x14ac:dyDescent="0.3">
      <c r="B108" s="12">
        <v>42745</v>
      </c>
      <c r="C108" s="6">
        <v>1.333</v>
      </c>
      <c r="D108" s="6">
        <v>1.39</v>
      </c>
      <c r="E108" s="6">
        <v>1.4410000000000001</v>
      </c>
      <c r="F108" s="6">
        <v>1.268</v>
      </c>
      <c r="G108" s="7">
        <v>-2.4199999999999999E-2</v>
      </c>
    </row>
    <row r="109" spans="2:7" x14ac:dyDescent="0.3">
      <c r="B109" s="12">
        <v>42744</v>
      </c>
      <c r="C109" s="6">
        <v>1.3660000000000001</v>
      </c>
      <c r="D109" s="6">
        <v>1.038</v>
      </c>
      <c r="E109" s="6">
        <v>1.4239999999999999</v>
      </c>
      <c r="F109" s="6">
        <v>0.95699999999999996</v>
      </c>
      <c r="G109" s="7">
        <v>0.31850000000000001</v>
      </c>
    </row>
    <row r="110" spans="2:7" x14ac:dyDescent="0.3">
      <c r="B110" s="12">
        <v>42743</v>
      </c>
      <c r="C110" s="6">
        <v>1.036</v>
      </c>
      <c r="D110" s="6">
        <v>1.2490000000000001</v>
      </c>
      <c r="E110" s="6">
        <v>1.2609999999999999</v>
      </c>
      <c r="F110" s="6">
        <v>0.98799999999999999</v>
      </c>
      <c r="G110" s="7">
        <v>-0.15840000000000001</v>
      </c>
    </row>
    <row r="111" spans="2:7" x14ac:dyDescent="0.3">
      <c r="B111" s="12">
        <v>42742</v>
      </c>
      <c r="C111" s="6">
        <v>1.2310000000000001</v>
      </c>
      <c r="D111" s="6">
        <v>1.282</v>
      </c>
      <c r="E111" s="6">
        <v>1.339</v>
      </c>
      <c r="F111" s="6">
        <v>1.169</v>
      </c>
      <c r="G111" s="7">
        <v>-2.2200000000000001E-2</v>
      </c>
    </row>
    <row r="112" spans="2:7" x14ac:dyDescent="0.3">
      <c r="B112" s="12">
        <v>42741</v>
      </c>
      <c r="C112" s="6">
        <v>1.2589999999999999</v>
      </c>
      <c r="D112" s="6">
        <v>1.0489999999999999</v>
      </c>
      <c r="E112" s="6">
        <v>1.292</v>
      </c>
      <c r="F112" s="6">
        <v>0.92800000000000005</v>
      </c>
      <c r="G112" s="7">
        <v>0.20019999999999999</v>
      </c>
    </row>
    <row r="113" spans="2:7" x14ac:dyDescent="0.3">
      <c r="B113" s="12">
        <v>42740</v>
      </c>
      <c r="C113" s="6">
        <v>1.0489999999999999</v>
      </c>
      <c r="D113" s="6">
        <v>1.0880000000000001</v>
      </c>
      <c r="E113" s="6">
        <v>1.2230000000000001</v>
      </c>
      <c r="F113" s="6">
        <v>0.98599999999999999</v>
      </c>
      <c r="G113" s="7">
        <v>-3.5000000000000003E-2</v>
      </c>
    </row>
    <row r="114" spans="2:7" x14ac:dyDescent="0.3">
      <c r="B114" s="12">
        <v>42739</v>
      </c>
      <c r="C114" s="6">
        <v>1.087</v>
      </c>
      <c r="D114" s="6">
        <v>1.141</v>
      </c>
      <c r="E114" s="6">
        <v>1.147</v>
      </c>
      <c r="F114" s="6">
        <v>1</v>
      </c>
      <c r="G114" s="7">
        <v>-4.65E-2</v>
      </c>
    </row>
    <row r="115" spans="2:7" x14ac:dyDescent="0.3">
      <c r="B115" s="12">
        <v>42738</v>
      </c>
      <c r="C115" s="6">
        <v>1.1399999999999999</v>
      </c>
      <c r="D115" s="6">
        <v>1.1719999999999999</v>
      </c>
      <c r="E115" s="6">
        <v>1.2989999999999999</v>
      </c>
      <c r="F115" s="6">
        <v>1.1100000000000001</v>
      </c>
      <c r="G115" s="7">
        <v>-9.5999999999999992E-3</v>
      </c>
    </row>
    <row r="116" spans="2:7" x14ac:dyDescent="0.3">
      <c r="B116" s="12">
        <v>42737</v>
      </c>
      <c r="C116" s="6">
        <v>1.151</v>
      </c>
      <c r="D116" s="6">
        <v>1.454</v>
      </c>
      <c r="E116" s="6">
        <v>1.47</v>
      </c>
      <c r="F116" s="6">
        <v>1.0680000000000001</v>
      </c>
      <c r="G116" s="7">
        <v>-0.1883</v>
      </c>
    </row>
    <row r="117" spans="2:7" x14ac:dyDescent="0.3">
      <c r="B117" s="12">
        <v>42736</v>
      </c>
      <c r="C117" s="6">
        <v>1.4179999999999999</v>
      </c>
      <c r="D117" s="6">
        <v>1.2410000000000001</v>
      </c>
      <c r="E117" s="6">
        <v>1.53</v>
      </c>
      <c r="F117" s="6">
        <v>1.2390000000000001</v>
      </c>
      <c r="G117" s="7">
        <v>0.14349999999999999</v>
      </c>
    </row>
    <row r="118" spans="2:7" x14ac:dyDescent="0.3">
      <c r="B118" s="12">
        <v>42381</v>
      </c>
      <c r="C118" s="6">
        <v>1.24</v>
      </c>
      <c r="D118" s="6">
        <v>1.4159999999999999</v>
      </c>
      <c r="E118" s="6">
        <v>1.5369999999999999</v>
      </c>
      <c r="F118" s="6">
        <v>1.2190000000000001</v>
      </c>
      <c r="G118" s="7">
        <v>-0.1255</v>
      </c>
    </row>
    <row r="119" spans="2:7" x14ac:dyDescent="0.3">
      <c r="B119" s="12">
        <v>42380</v>
      </c>
      <c r="C119" s="6">
        <v>1.4179999999999999</v>
      </c>
      <c r="D119" s="6">
        <v>1.276</v>
      </c>
      <c r="E119" s="6">
        <v>1.498</v>
      </c>
      <c r="F119" s="6">
        <v>1.115</v>
      </c>
      <c r="G119" s="7">
        <v>0.13800000000000001</v>
      </c>
    </row>
    <row r="120" spans="2:7" x14ac:dyDescent="0.3">
      <c r="B120" s="12">
        <v>42379</v>
      </c>
      <c r="C120" s="6">
        <v>1.246</v>
      </c>
      <c r="D120" s="6">
        <v>0.74299999999999999</v>
      </c>
      <c r="E120" s="6">
        <v>1.3120000000000001</v>
      </c>
      <c r="F120" s="6">
        <v>0.71299999999999997</v>
      </c>
      <c r="G120" s="7">
        <v>0.66579999999999995</v>
      </c>
    </row>
    <row r="121" spans="2:7" x14ac:dyDescent="0.3">
      <c r="B121" s="12">
        <v>42378</v>
      </c>
      <c r="C121" s="6">
        <v>0.748</v>
      </c>
      <c r="D121" s="6">
        <v>0.65400000000000003</v>
      </c>
      <c r="E121" s="6">
        <v>0.95099999999999996</v>
      </c>
      <c r="F121" s="6">
        <v>0.64</v>
      </c>
      <c r="G121" s="7">
        <v>0.1651</v>
      </c>
    </row>
    <row r="122" spans="2:7" x14ac:dyDescent="0.3">
      <c r="B122" s="12">
        <v>42377</v>
      </c>
      <c r="C122" s="6">
        <v>0.64200000000000002</v>
      </c>
      <c r="D122" s="6">
        <v>0.69199999999999995</v>
      </c>
      <c r="E122" s="6">
        <v>0.84199999999999997</v>
      </c>
      <c r="F122" s="6">
        <v>0.503</v>
      </c>
      <c r="G122" s="7">
        <v>-6.4100000000000004E-2</v>
      </c>
    </row>
    <row r="123" spans="2:7" x14ac:dyDescent="0.3">
      <c r="B123" s="12">
        <v>42376</v>
      </c>
      <c r="C123" s="6">
        <v>0.68600000000000005</v>
      </c>
      <c r="D123" s="6">
        <v>0.84499999999999997</v>
      </c>
      <c r="E123" s="6">
        <v>0.89100000000000001</v>
      </c>
      <c r="F123" s="6">
        <v>0.68600000000000005</v>
      </c>
      <c r="G123" s="7">
        <v>-0.21240000000000001</v>
      </c>
    </row>
    <row r="124" spans="2:7" x14ac:dyDescent="0.3">
      <c r="B124" s="12">
        <v>42375</v>
      </c>
      <c r="C124" s="6">
        <v>0.871</v>
      </c>
      <c r="D124" s="6">
        <v>1.4279999999999999</v>
      </c>
      <c r="E124" s="6">
        <v>1.431</v>
      </c>
      <c r="F124" s="6">
        <v>0.86299999999999999</v>
      </c>
      <c r="G124" s="7">
        <v>-0.39129999999999998</v>
      </c>
    </row>
    <row r="125" spans="2:7" x14ac:dyDescent="0.3">
      <c r="B125" s="12">
        <v>42374</v>
      </c>
      <c r="C125" s="6">
        <v>1.431</v>
      </c>
      <c r="D125" s="6">
        <v>1.609</v>
      </c>
      <c r="E125" s="6">
        <v>1.61</v>
      </c>
      <c r="F125" s="6">
        <v>1.3540000000000001</v>
      </c>
      <c r="G125" s="7">
        <v>-0.1045</v>
      </c>
    </row>
    <row r="126" spans="2:7" x14ac:dyDescent="0.3">
      <c r="B126" s="12">
        <v>42373</v>
      </c>
      <c r="C126" s="6">
        <v>1.5980000000000001</v>
      </c>
      <c r="D126" s="6">
        <v>1.423</v>
      </c>
      <c r="E126" s="6">
        <v>1.669</v>
      </c>
      <c r="F126" s="6">
        <v>1.319</v>
      </c>
      <c r="G126" s="7">
        <v>0.12690000000000001</v>
      </c>
    </row>
    <row r="127" spans="2:7" x14ac:dyDescent="0.3">
      <c r="B127" s="12">
        <v>42372</v>
      </c>
      <c r="C127" s="6">
        <v>1.4179999999999999</v>
      </c>
      <c r="D127" s="6">
        <v>1.339</v>
      </c>
      <c r="E127" s="6">
        <v>1.5860000000000001</v>
      </c>
      <c r="F127" s="6">
        <v>1.3160000000000001</v>
      </c>
      <c r="G127" s="7">
        <v>6.0600000000000001E-2</v>
      </c>
    </row>
    <row r="128" spans="2:7" x14ac:dyDescent="0.3">
      <c r="B128" s="12">
        <v>42371</v>
      </c>
      <c r="C128" s="6">
        <v>1.337</v>
      </c>
      <c r="D128" s="6">
        <v>1.5609999999999999</v>
      </c>
      <c r="E128" s="6">
        <v>1.635</v>
      </c>
      <c r="F128" s="6">
        <v>1.2250000000000001</v>
      </c>
      <c r="G128" s="7">
        <v>-0.14349999999999999</v>
      </c>
    </row>
    <row r="129" spans="2:7" x14ac:dyDescent="0.3">
      <c r="B129" s="12">
        <v>42370</v>
      </c>
      <c r="C129" s="6">
        <v>1.5609999999999999</v>
      </c>
      <c r="D129" s="6">
        <v>1.92</v>
      </c>
      <c r="E129" s="6">
        <v>1.921</v>
      </c>
      <c r="F129" s="6">
        <v>1.5589999999999999</v>
      </c>
      <c r="G129" s="7">
        <v>-0.20399999999999999</v>
      </c>
    </row>
    <row r="130" spans="2:7" x14ac:dyDescent="0.3">
      <c r="B130" s="12">
        <v>42016</v>
      </c>
      <c r="C130" s="6">
        <v>1.9610000000000001</v>
      </c>
      <c r="D130" s="6">
        <v>1.85</v>
      </c>
      <c r="E130" s="6">
        <v>1.998</v>
      </c>
      <c r="F130" s="6">
        <v>1.7230000000000001</v>
      </c>
      <c r="G130" s="7">
        <v>7.1599999999999997E-2</v>
      </c>
    </row>
    <row r="131" spans="2:7" x14ac:dyDescent="0.3">
      <c r="B131" s="12">
        <v>42015</v>
      </c>
      <c r="C131" s="6">
        <v>1.83</v>
      </c>
      <c r="D131" s="6">
        <v>1.927</v>
      </c>
      <c r="E131" s="6">
        <v>2.089</v>
      </c>
      <c r="F131" s="6">
        <v>1.8009999999999999</v>
      </c>
      <c r="G131" s="7">
        <v>-4.9799999999999997E-2</v>
      </c>
    </row>
    <row r="132" spans="2:7" x14ac:dyDescent="0.3">
      <c r="B132" s="12">
        <v>42014</v>
      </c>
      <c r="C132" s="6">
        <v>1.9259999999999999</v>
      </c>
      <c r="D132" s="6">
        <v>1.78</v>
      </c>
      <c r="E132" s="6">
        <v>1.9490000000000001</v>
      </c>
      <c r="F132" s="6">
        <v>1.6459999999999999</v>
      </c>
      <c r="G132" s="7">
        <v>9.1200000000000003E-2</v>
      </c>
    </row>
    <row r="133" spans="2:7" x14ac:dyDescent="0.3">
      <c r="B133" s="12">
        <v>42013</v>
      </c>
      <c r="C133" s="6">
        <v>1.7649999999999999</v>
      </c>
      <c r="D133" s="6">
        <v>1.96</v>
      </c>
      <c r="E133" s="6">
        <v>1.9890000000000001</v>
      </c>
      <c r="F133" s="6">
        <v>1.73</v>
      </c>
      <c r="G133" s="7">
        <v>-9.4899999999999998E-2</v>
      </c>
    </row>
    <row r="134" spans="2:7" x14ac:dyDescent="0.3">
      <c r="B134" s="12">
        <v>42012</v>
      </c>
      <c r="C134" s="6">
        <v>1.95</v>
      </c>
      <c r="D134" s="6">
        <v>1.899</v>
      </c>
      <c r="E134" s="6">
        <v>2.0070000000000001</v>
      </c>
      <c r="F134" s="6">
        <v>1.696</v>
      </c>
      <c r="G134" s="7">
        <v>3.61E-2</v>
      </c>
    </row>
    <row r="135" spans="2:7" x14ac:dyDescent="0.3">
      <c r="B135" s="12">
        <v>42011</v>
      </c>
      <c r="C135" s="6">
        <v>1.8819999999999999</v>
      </c>
      <c r="D135" s="6">
        <v>2.0590000000000002</v>
      </c>
      <c r="E135" s="6">
        <v>2.1779999999999999</v>
      </c>
      <c r="F135" s="6">
        <v>1.782</v>
      </c>
      <c r="G135" s="7">
        <v>-7.2900000000000006E-2</v>
      </c>
    </row>
    <row r="136" spans="2:7" x14ac:dyDescent="0.3">
      <c r="B136" s="12">
        <v>42010</v>
      </c>
      <c r="C136" s="6">
        <v>2.0299999999999998</v>
      </c>
      <c r="D136" s="6">
        <v>1.831</v>
      </c>
      <c r="E136" s="6">
        <v>2.2130000000000001</v>
      </c>
      <c r="F136" s="6">
        <v>1.8080000000000001</v>
      </c>
      <c r="G136" s="7">
        <v>0.12529999999999999</v>
      </c>
    </row>
    <row r="137" spans="2:7" x14ac:dyDescent="0.3">
      <c r="B137" s="12">
        <v>42009</v>
      </c>
      <c r="C137" s="6">
        <v>1.804</v>
      </c>
      <c r="D137" s="6">
        <v>1.8109999999999999</v>
      </c>
      <c r="E137" s="6">
        <v>2.0699999999999998</v>
      </c>
      <c r="F137" s="6">
        <v>1.788</v>
      </c>
      <c r="G137" s="7">
        <v>-1.6899999999999998E-2</v>
      </c>
    </row>
    <row r="138" spans="2:7" x14ac:dyDescent="0.3">
      <c r="B138" s="12">
        <v>42008</v>
      </c>
      <c r="C138" s="6">
        <v>1.835</v>
      </c>
      <c r="D138" s="6">
        <v>1.585</v>
      </c>
      <c r="E138" s="6">
        <v>1.8839999999999999</v>
      </c>
      <c r="F138" s="6">
        <v>1.5009999999999999</v>
      </c>
      <c r="G138" s="7">
        <v>0.16209999999999999</v>
      </c>
    </row>
    <row r="139" spans="2:7" x14ac:dyDescent="0.3">
      <c r="B139" s="12">
        <v>42007</v>
      </c>
      <c r="C139" s="6">
        <v>1.579</v>
      </c>
      <c r="D139" s="6">
        <v>1.782</v>
      </c>
      <c r="E139" s="6">
        <v>1.964</v>
      </c>
      <c r="F139" s="6">
        <v>1.444</v>
      </c>
      <c r="G139" s="7">
        <v>-0.1174</v>
      </c>
    </row>
    <row r="140" spans="2:7" x14ac:dyDescent="0.3">
      <c r="B140" s="12">
        <v>42006</v>
      </c>
      <c r="C140" s="6">
        <v>1.7889999999999999</v>
      </c>
      <c r="D140" s="6">
        <v>1.3440000000000001</v>
      </c>
      <c r="E140" s="6">
        <v>1.86</v>
      </c>
      <c r="F140" s="6">
        <v>1.34</v>
      </c>
      <c r="G140" s="7">
        <v>0.33410000000000001</v>
      </c>
    </row>
    <row r="141" spans="2:7" x14ac:dyDescent="0.3">
      <c r="B141" s="12">
        <v>42005</v>
      </c>
      <c r="C141" s="6">
        <v>1.341</v>
      </c>
      <c r="D141" s="6">
        <v>1.7749999999999999</v>
      </c>
      <c r="E141" s="6">
        <v>1.8080000000000001</v>
      </c>
      <c r="F141" s="6">
        <v>1.337</v>
      </c>
      <c r="G141" s="7">
        <v>-0.23630000000000001</v>
      </c>
    </row>
    <row r="142" spans="2:7" x14ac:dyDescent="0.3">
      <c r="B142" s="12">
        <v>41651</v>
      </c>
      <c r="C142" s="6">
        <v>1.756</v>
      </c>
      <c r="D142" s="6">
        <v>1.9059999999999999</v>
      </c>
      <c r="E142" s="6">
        <v>2.0499999999999998</v>
      </c>
      <c r="F142" s="6">
        <v>1.694</v>
      </c>
      <c r="G142" s="7">
        <v>-8.8700000000000001E-2</v>
      </c>
    </row>
    <row r="143" spans="2:7" x14ac:dyDescent="0.3">
      <c r="B143" s="12">
        <v>41650</v>
      </c>
      <c r="C143" s="6">
        <v>1.927</v>
      </c>
      <c r="D143" s="6">
        <v>2.2229999999999999</v>
      </c>
      <c r="E143" s="6">
        <v>2.2909999999999999</v>
      </c>
      <c r="F143" s="6">
        <v>1.901</v>
      </c>
      <c r="G143" s="7">
        <v>-0.14360000000000001</v>
      </c>
    </row>
    <row r="144" spans="2:7" x14ac:dyDescent="0.3">
      <c r="B144" s="12">
        <v>41649</v>
      </c>
      <c r="C144" s="6">
        <v>2.25</v>
      </c>
      <c r="D144" s="6">
        <v>2.4319999999999999</v>
      </c>
      <c r="E144" s="6">
        <v>2.44</v>
      </c>
      <c r="F144" s="6">
        <v>1.9370000000000001</v>
      </c>
      <c r="G144" s="7">
        <v>-7.2499999999999995E-2</v>
      </c>
    </row>
    <row r="145" spans="2:7" x14ac:dyDescent="0.3">
      <c r="B145" s="12">
        <v>41648</v>
      </c>
      <c r="C145" s="6">
        <v>2.4260000000000002</v>
      </c>
      <c r="D145" s="6">
        <v>2.3679999999999999</v>
      </c>
      <c r="E145" s="6">
        <v>2.6030000000000002</v>
      </c>
      <c r="F145" s="6">
        <v>2.3679999999999999</v>
      </c>
      <c r="G145" s="7">
        <v>2.41E-2</v>
      </c>
    </row>
    <row r="146" spans="2:7" x14ac:dyDescent="0.3">
      <c r="B146" s="12">
        <v>41647</v>
      </c>
      <c r="C146" s="6">
        <v>2.3690000000000002</v>
      </c>
      <c r="D146" s="6">
        <v>2.6230000000000002</v>
      </c>
      <c r="E146" s="6">
        <v>2.6339999999999999</v>
      </c>
      <c r="F146" s="6">
        <v>2.34</v>
      </c>
      <c r="G146" s="7">
        <v>-9.4399999999999998E-2</v>
      </c>
    </row>
    <row r="147" spans="2:7" x14ac:dyDescent="0.3">
      <c r="B147" s="12">
        <v>41646</v>
      </c>
      <c r="C147" s="6">
        <v>2.6160000000000001</v>
      </c>
      <c r="D147" s="6">
        <v>2.6789999999999998</v>
      </c>
      <c r="E147" s="6">
        <v>2.786</v>
      </c>
      <c r="F147" s="6">
        <v>2.5310000000000001</v>
      </c>
      <c r="G147" s="7">
        <v>-2.06E-2</v>
      </c>
    </row>
    <row r="148" spans="2:7" x14ac:dyDescent="0.3">
      <c r="B148" s="12">
        <v>41645</v>
      </c>
      <c r="C148" s="6">
        <v>2.6709999999999998</v>
      </c>
      <c r="D148" s="6">
        <v>2.585</v>
      </c>
      <c r="E148" s="6">
        <v>2.7959999999999998</v>
      </c>
      <c r="F148" s="6">
        <v>2.5649999999999999</v>
      </c>
      <c r="G148" s="7">
        <v>4.0500000000000001E-2</v>
      </c>
    </row>
    <row r="149" spans="2:7" x14ac:dyDescent="0.3">
      <c r="B149" s="12">
        <v>41644</v>
      </c>
      <c r="C149" s="6">
        <v>2.5670000000000002</v>
      </c>
      <c r="D149" s="6">
        <v>2.6720000000000002</v>
      </c>
      <c r="E149" s="6">
        <v>2.7450000000000001</v>
      </c>
      <c r="F149" s="6">
        <v>2.5219999999999998</v>
      </c>
      <c r="G149" s="7">
        <v>-3.8199999999999998E-2</v>
      </c>
    </row>
    <row r="150" spans="2:7" x14ac:dyDescent="0.3">
      <c r="B150" s="12">
        <v>41643</v>
      </c>
      <c r="C150" s="6">
        <v>2.669</v>
      </c>
      <c r="D150" s="6">
        <v>2.7519999999999998</v>
      </c>
      <c r="E150" s="6">
        <v>2.7890000000000001</v>
      </c>
      <c r="F150" s="6">
        <v>2.5939999999999999</v>
      </c>
      <c r="G150" s="7">
        <v>-2.5600000000000001E-2</v>
      </c>
    </row>
    <row r="151" spans="2:7" x14ac:dyDescent="0.3">
      <c r="B151" s="12">
        <v>41642</v>
      </c>
      <c r="C151" s="6">
        <v>2.7389999999999999</v>
      </c>
      <c r="D151" s="6">
        <v>2.6659999999999999</v>
      </c>
      <c r="E151" s="6">
        <v>2.8279999999999998</v>
      </c>
      <c r="F151" s="6">
        <v>2.6379999999999999</v>
      </c>
      <c r="G151" s="7">
        <v>5.8999999999999999E-3</v>
      </c>
    </row>
    <row r="152" spans="2:7" x14ac:dyDescent="0.3">
      <c r="B152" s="12">
        <v>41641</v>
      </c>
      <c r="C152" s="6">
        <v>2.7229999999999999</v>
      </c>
      <c r="D152" s="6">
        <v>2.718</v>
      </c>
      <c r="E152" s="6">
        <v>2.8290000000000002</v>
      </c>
      <c r="F152" s="6">
        <v>2.64</v>
      </c>
      <c r="G152" s="7">
        <v>4.4000000000000003E-3</v>
      </c>
    </row>
    <row r="153" spans="2:7" x14ac:dyDescent="0.3">
      <c r="B153" s="12">
        <v>41640</v>
      </c>
      <c r="C153" s="6">
        <v>2.7109999999999999</v>
      </c>
      <c r="D153" s="6">
        <v>3.089</v>
      </c>
      <c r="E153" s="6">
        <v>3.0920000000000001</v>
      </c>
      <c r="F153" s="6">
        <v>2.6890000000000001</v>
      </c>
      <c r="G153" s="7">
        <v>-0.10589999999999999</v>
      </c>
    </row>
    <row r="154" spans="2:7" x14ac:dyDescent="0.3">
      <c r="B154" s="12">
        <v>41286</v>
      </c>
      <c r="C154" s="6">
        <v>3.032</v>
      </c>
      <c r="D154" s="6">
        <v>2.7949999999999999</v>
      </c>
      <c r="E154" s="6">
        <v>3.0830000000000002</v>
      </c>
      <c r="F154" s="6">
        <v>2.7949999999999999</v>
      </c>
      <c r="G154" s="7">
        <v>9.4600000000000004E-2</v>
      </c>
    </row>
    <row r="155" spans="2:7" x14ac:dyDescent="0.3">
      <c r="B155" s="12">
        <v>41285</v>
      </c>
      <c r="C155" s="6">
        <v>2.77</v>
      </c>
      <c r="D155" s="6">
        <v>2.6150000000000002</v>
      </c>
      <c r="E155" s="6">
        <v>2.87</v>
      </c>
      <c r="F155" s="6">
        <v>2.6030000000000002</v>
      </c>
      <c r="G155" s="7">
        <v>5.6000000000000001E-2</v>
      </c>
    </row>
    <row r="156" spans="2:7" x14ac:dyDescent="0.3">
      <c r="B156" s="12">
        <v>41284</v>
      </c>
      <c r="C156" s="6">
        <v>2.6230000000000002</v>
      </c>
      <c r="D156" s="6">
        <v>2.7229999999999999</v>
      </c>
      <c r="E156" s="6">
        <v>2.8530000000000002</v>
      </c>
      <c r="F156" s="6">
        <v>2.5259999999999998</v>
      </c>
      <c r="G156" s="7">
        <v>-3.5299999999999998E-2</v>
      </c>
    </row>
    <row r="157" spans="2:7" x14ac:dyDescent="0.3">
      <c r="B157" s="12">
        <v>41283</v>
      </c>
      <c r="C157" s="6">
        <v>2.7189999999999999</v>
      </c>
      <c r="D157" s="6">
        <v>2.8220000000000001</v>
      </c>
      <c r="E157" s="6">
        <v>3.0510000000000002</v>
      </c>
      <c r="F157" s="6">
        <v>2.6789999999999998</v>
      </c>
      <c r="G157" s="7">
        <v>-2.0899999999999998E-2</v>
      </c>
    </row>
    <row r="158" spans="2:7" x14ac:dyDescent="0.3">
      <c r="B158" s="12">
        <v>41282</v>
      </c>
      <c r="C158" s="6">
        <v>2.7770000000000001</v>
      </c>
      <c r="D158" s="6">
        <v>2.286</v>
      </c>
      <c r="E158" s="6">
        <v>2.843</v>
      </c>
      <c r="F158" s="6">
        <v>2.2839999999999998</v>
      </c>
      <c r="G158" s="7">
        <v>0.1782</v>
      </c>
    </row>
    <row r="159" spans="2:7" x14ac:dyDescent="0.3">
      <c r="B159" s="12">
        <v>41281</v>
      </c>
      <c r="C159" s="6">
        <v>2.3570000000000002</v>
      </c>
      <c r="D159" s="6">
        <v>2.444</v>
      </c>
      <c r="E159" s="6">
        <v>2.5129999999999999</v>
      </c>
      <c r="F159" s="6">
        <v>2.2450000000000001</v>
      </c>
      <c r="G159" s="7">
        <v>-3.32E-2</v>
      </c>
    </row>
    <row r="160" spans="2:7" x14ac:dyDescent="0.3">
      <c r="B160" s="12">
        <v>41280</v>
      </c>
      <c r="C160" s="6">
        <v>2.4380000000000002</v>
      </c>
      <c r="D160" s="6">
        <v>2.012</v>
      </c>
      <c r="E160" s="6">
        <v>2.597</v>
      </c>
      <c r="F160" s="6">
        <v>1.97</v>
      </c>
      <c r="G160" s="7">
        <v>0.2147</v>
      </c>
    </row>
    <row r="161" spans="2:7" x14ac:dyDescent="0.3">
      <c r="B161" s="12">
        <v>41279</v>
      </c>
      <c r="C161" s="6">
        <v>2.0070000000000001</v>
      </c>
      <c r="D161" s="6">
        <v>1.6830000000000001</v>
      </c>
      <c r="E161" s="6">
        <v>2.036</v>
      </c>
      <c r="F161" s="6">
        <v>1.61</v>
      </c>
      <c r="G161" s="7">
        <v>0.19889999999999999</v>
      </c>
    </row>
    <row r="162" spans="2:7" x14ac:dyDescent="0.3">
      <c r="B162" s="12">
        <v>41278</v>
      </c>
      <c r="C162" s="6">
        <v>1.6739999999999999</v>
      </c>
      <c r="D162" s="6">
        <v>1.7490000000000001</v>
      </c>
      <c r="E162" s="6">
        <v>1.821</v>
      </c>
      <c r="F162" s="6">
        <v>1.625</v>
      </c>
      <c r="G162" s="7">
        <v>-4.99E-2</v>
      </c>
    </row>
    <row r="163" spans="2:7" x14ac:dyDescent="0.3">
      <c r="B163" s="12">
        <v>41277</v>
      </c>
      <c r="C163" s="6">
        <v>1.762</v>
      </c>
      <c r="D163" s="6">
        <v>1.962</v>
      </c>
      <c r="E163" s="6">
        <v>2.0739999999999998</v>
      </c>
      <c r="F163" s="6">
        <v>1.7090000000000001</v>
      </c>
      <c r="G163" s="7">
        <v>-0.1065</v>
      </c>
    </row>
    <row r="164" spans="2:7" x14ac:dyDescent="0.3">
      <c r="B164" s="12">
        <v>41276</v>
      </c>
      <c r="C164" s="6">
        <v>1.972</v>
      </c>
      <c r="D164" s="6">
        <v>2.093</v>
      </c>
      <c r="E164" s="6">
        <v>2.2709999999999999</v>
      </c>
      <c r="F164" s="6">
        <v>1.9259999999999999</v>
      </c>
      <c r="G164" s="7">
        <v>-5.8700000000000002E-2</v>
      </c>
    </row>
    <row r="165" spans="2:7" x14ac:dyDescent="0.3">
      <c r="B165" s="12">
        <v>41275</v>
      </c>
      <c r="C165" s="6">
        <v>2.0950000000000002</v>
      </c>
      <c r="D165" s="6">
        <v>1.8939999999999999</v>
      </c>
      <c r="E165" s="6">
        <v>2.1389999999999998</v>
      </c>
      <c r="F165" s="6">
        <v>1.8939999999999999</v>
      </c>
      <c r="G165" s="7">
        <v>0.1411</v>
      </c>
    </row>
    <row r="166" spans="2:7" x14ac:dyDescent="0.3">
      <c r="B166" s="12">
        <v>40920</v>
      </c>
      <c r="C166" s="6">
        <v>1.8360000000000001</v>
      </c>
      <c r="D166" s="6">
        <v>1.768</v>
      </c>
      <c r="E166" s="6">
        <v>1.99</v>
      </c>
      <c r="F166" s="6">
        <v>1.72</v>
      </c>
      <c r="G166" s="7">
        <v>3.5499999999999997E-2</v>
      </c>
    </row>
    <row r="167" spans="2:7" x14ac:dyDescent="0.3">
      <c r="B167" s="12">
        <v>40919</v>
      </c>
      <c r="C167" s="6">
        <v>1.7729999999999999</v>
      </c>
      <c r="D167" s="6">
        <v>1.8640000000000001</v>
      </c>
      <c r="E167" s="6">
        <v>1.91</v>
      </c>
      <c r="F167" s="6">
        <v>1.6719999999999999</v>
      </c>
      <c r="G167" s="7">
        <v>-3.95E-2</v>
      </c>
    </row>
    <row r="168" spans="2:7" x14ac:dyDescent="0.3">
      <c r="B168" s="12">
        <v>40918</v>
      </c>
      <c r="C168" s="6">
        <v>1.8460000000000001</v>
      </c>
      <c r="D168" s="6">
        <v>1.7290000000000001</v>
      </c>
      <c r="E168" s="6">
        <v>1.9550000000000001</v>
      </c>
      <c r="F168" s="6">
        <v>1.68</v>
      </c>
      <c r="G168" s="7">
        <v>7.6399999999999996E-2</v>
      </c>
    </row>
    <row r="169" spans="2:7" x14ac:dyDescent="0.3">
      <c r="B169" s="12">
        <v>40917</v>
      </c>
      <c r="C169" s="6">
        <v>1.7150000000000001</v>
      </c>
      <c r="D169" s="6">
        <v>1.615</v>
      </c>
      <c r="E169" s="6">
        <v>1.9870000000000001</v>
      </c>
      <c r="F169" s="6">
        <v>1.611</v>
      </c>
      <c r="G169" s="7">
        <v>0.16350000000000001</v>
      </c>
    </row>
    <row r="170" spans="2:7" x14ac:dyDescent="0.3">
      <c r="B170" s="12">
        <v>40916</v>
      </c>
      <c r="C170" s="6">
        <v>1.474</v>
      </c>
      <c r="D170" s="6">
        <v>1.4670000000000001</v>
      </c>
      <c r="E170" s="6">
        <v>1.732</v>
      </c>
      <c r="F170" s="6">
        <v>1.4370000000000001</v>
      </c>
      <c r="G170" s="7">
        <v>2E-3</v>
      </c>
    </row>
    <row r="171" spans="2:7" x14ac:dyDescent="0.3">
      <c r="B171" s="12">
        <v>40915</v>
      </c>
      <c r="C171" s="6">
        <v>1.4710000000000001</v>
      </c>
      <c r="D171" s="6">
        <v>1.7070000000000001</v>
      </c>
      <c r="E171" s="6">
        <v>1.7729999999999999</v>
      </c>
      <c r="F171" s="6">
        <v>1.4079999999999999</v>
      </c>
      <c r="G171" s="7">
        <v>-0.1502</v>
      </c>
    </row>
    <row r="172" spans="2:7" x14ac:dyDescent="0.3">
      <c r="B172" s="12">
        <v>40914</v>
      </c>
      <c r="C172" s="6">
        <v>1.7310000000000001</v>
      </c>
      <c r="D172" s="6">
        <v>1.5820000000000001</v>
      </c>
      <c r="E172" s="6">
        <v>1.823</v>
      </c>
      <c r="F172" s="6">
        <v>1.4390000000000001</v>
      </c>
      <c r="G172" s="7">
        <v>0.104</v>
      </c>
    </row>
    <row r="173" spans="2:7" x14ac:dyDescent="0.3">
      <c r="B173" s="12">
        <v>40913</v>
      </c>
      <c r="C173" s="6">
        <v>1.5680000000000001</v>
      </c>
      <c r="D173" s="6">
        <v>2.1070000000000002</v>
      </c>
      <c r="E173" s="6">
        <v>2.1280000000000001</v>
      </c>
      <c r="F173" s="6">
        <v>1.5629999999999999</v>
      </c>
      <c r="G173" s="7">
        <v>-0.25690000000000002</v>
      </c>
    </row>
    <row r="174" spans="2:7" x14ac:dyDescent="0.3">
      <c r="B174" s="12">
        <v>40912</v>
      </c>
      <c r="C174" s="6">
        <v>2.11</v>
      </c>
      <c r="D174" s="6">
        <v>2.2450000000000001</v>
      </c>
      <c r="E174" s="6">
        <v>2.2789999999999999</v>
      </c>
      <c r="F174" s="6">
        <v>2.0089999999999999</v>
      </c>
      <c r="G174" s="7">
        <v>-4.1799999999999997E-2</v>
      </c>
    </row>
    <row r="175" spans="2:7" x14ac:dyDescent="0.3">
      <c r="B175" s="12">
        <v>40911</v>
      </c>
      <c r="C175" s="6">
        <v>2.202</v>
      </c>
      <c r="D175" s="6">
        <v>2.1429999999999998</v>
      </c>
      <c r="E175" s="6">
        <v>2.488</v>
      </c>
      <c r="F175" s="6">
        <v>2.085</v>
      </c>
      <c r="G175" s="7">
        <v>2.5100000000000001E-2</v>
      </c>
    </row>
    <row r="176" spans="2:7" x14ac:dyDescent="0.3">
      <c r="B176" s="12">
        <v>40910</v>
      </c>
      <c r="C176" s="6">
        <v>2.1480000000000001</v>
      </c>
      <c r="D176" s="6">
        <v>1.996</v>
      </c>
      <c r="E176" s="6">
        <v>2.254</v>
      </c>
      <c r="F176" s="6">
        <v>1.9730000000000001</v>
      </c>
      <c r="G176" s="7">
        <v>9.0899999999999995E-2</v>
      </c>
    </row>
    <row r="177" spans="2:7" x14ac:dyDescent="0.3">
      <c r="B177" s="12">
        <v>40909</v>
      </c>
      <c r="C177" s="6">
        <v>1.9690000000000001</v>
      </c>
      <c r="D177" s="6">
        <v>1.9710000000000001</v>
      </c>
      <c r="E177" s="6">
        <v>2.2250000000000001</v>
      </c>
      <c r="F177" s="6">
        <v>1.9179999999999999</v>
      </c>
      <c r="G177" s="7">
        <v>-4.0000000000000001E-3</v>
      </c>
    </row>
    <row r="178" spans="2:7" x14ac:dyDescent="0.3">
      <c r="B178" s="12">
        <v>40555</v>
      </c>
      <c r="C178" s="6">
        <v>1.9770000000000001</v>
      </c>
      <c r="D178" s="6">
        <v>2.31</v>
      </c>
      <c r="E178" s="6">
        <v>2.4329999999999998</v>
      </c>
      <c r="F178" s="6">
        <v>1.9219999999999999</v>
      </c>
      <c r="G178" s="7">
        <v>-0.1467</v>
      </c>
    </row>
    <row r="179" spans="2:7" x14ac:dyDescent="0.3">
      <c r="B179" s="12">
        <v>40554</v>
      </c>
      <c r="C179" s="6">
        <v>2.3170000000000002</v>
      </c>
      <c r="D179" s="6">
        <v>2.3199999999999998</v>
      </c>
      <c r="E179" s="6">
        <v>2.4569999999999999</v>
      </c>
      <c r="F179" s="6">
        <v>2.101</v>
      </c>
      <c r="G179" s="7">
        <v>-5.1200000000000002E-2</v>
      </c>
    </row>
    <row r="180" spans="2:7" x14ac:dyDescent="0.3">
      <c r="B180" s="12">
        <v>40553</v>
      </c>
      <c r="C180" s="6">
        <v>2.4420000000000002</v>
      </c>
      <c r="D180" s="6">
        <v>2.3759999999999999</v>
      </c>
      <c r="E180" s="6">
        <v>2.7040000000000002</v>
      </c>
      <c r="F180" s="6">
        <v>2.1930000000000001</v>
      </c>
      <c r="G180" s="7">
        <v>9.1000000000000004E-3</v>
      </c>
    </row>
    <row r="181" spans="2:7" x14ac:dyDescent="0.3">
      <c r="B181" s="12">
        <v>40552</v>
      </c>
      <c r="C181" s="6">
        <v>2.42</v>
      </c>
      <c r="D181" s="6">
        <v>2.6320000000000001</v>
      </c>
      <c r="E181" s="6">
        <v>2.6349999999999998</v>
      </c>
      <c r="F181" s="6">
        <v>2.1240000000000001</v>
      </c>
      <c r="G181" s="7">
        <v>-7.0999999999999994E-2</v>
      </c>
    </row>
    <row r="182" spans="2:7" x14ac:dyDescent="0.3">
      <c r="B182" s="12">
        <v>40551</v>
      </c>
      <c r="C182" s="6">
        <v>2.605</v>
      </c>
      <c r="D182" s="6">
        <v>2.9</v>
      </c>
      <c r="E182" s="6">
        <v>2.91</v>
      </c>
      <c r="F182" s="6">
        <v>2.238</v>
      </c>
      <c r="G182" s="7">
        <v>-9.11E-2</v>
      </c>
    </row>
    <row r="183" spans="2:7" x14ac:dyDescent="0.3">
      <c r="B183" s="12">
        <v>40550</v>
      </c>
      <c r="C183" s="6">
        <v>2.8660000000000001</v>
      </c>
      <c r="D183" s="6">
        <v>3.4089999999999998</v>
      </c>
      <c r="E183" s="6">
        <v>3.4209999999999998</v>
      </c>
      <c r="F183" s="6">
        <v>2.8559999999999999</v>
      </c>
      <c r="G183" s="7">
        <v>-0.15459999999999999</v>
      </c>
    </row>
    <row r="184" spans="2:7" x14ac:dyDescent="0.3">
      <c r="B184" s="12">
        <v>40549</v>
      </c>
      <c r="C184" s="6">
        <v>3.39</v>
      </c>
      <c r="D184" s="6">
        <v>3.31</v>
      </c>
      <c r="E184" s="6">
        <v>3.4039999999999999</v>
      </c>
      <c r="F184" s="6">
        <v>3.117</v>
      </c>
      <c r="G184" s="7">
        <v>2.76E-2</v>
      </c>
    </row>
    <row r="185" spans="2:7" x14ac:dyDescent="0.3">
      <c r="B185" s="12">
        <v>40548</v>
      </c>
      <c r="C185" s="6">
        <v>3.2989999999999999</v>
      </c>
      <c r="D185" s="6">
        <v>3.464</v>
      </c>
      <c r="E185" s="6">
        <v>3.4729999999999999</v>
      </c>
      <c r="F185" s="6">
        <v>3.2829999999999999</v>
      </c>
      <c r="G185" s="7">
        <v>-5.3100000000000001E-2</v>
      </c>
    </row>
    <row r="186" spans="2:7" x14ac:dyDescent="0.3">
      <c r="B186" s="12">
        <v>40547</v>
      </c>
      <c r="C186" s="6">
        <v>3.484</v>
      </c>
      <c r="D186" s="6">
        <v>3.7250000000000001</v>
      </c>
      <c r="E186" s="6">
        <v>3.8490000000000002</v>
      </c>
      <c r="F186" s="6">
        <v>3.468</v>
      </c>
      <c r="G186" s="7">
        <v>-5.6099999999999997E-2</v>
      </c>
    </row>
    <row r="187" spans="2:7" x14ac:dyDescent="0.3">
      <c r="B187" s="12">
        <v>40546</v>
      </c>
      <c r="C187" s="6">
        <v>3.6909999999999998</v>
      </c>
      <c r="D187" s="6">
        <v>3.7080000000000002</v>
      </c>
      <c r="E187" s="6">
        <v>3.823</v>
      </c>
      <c r="F187" s="6">
        <v>3.4449999999999998</v>
      </c>
      <c r="G187" s="7">
        <v>5.0000000000000001E-4</v>
      </c>
    </row>
    <row r="188" spans="2:7" x14ac:dyDescent="0.3">
      <c r="B188" s="12">
        <v>40545</v>
      </c>
      <c r="C188" s="6">
        <v>3.6890000000000001</v>
      </c>
      <c r="D188" s="6">
        <v>3.694</v>
      </c>
      <c r="E188" s="6">
        <v>3.9060000000000001</v>
      </c>
      <c r="F188" s="6">
        <v>3.6629999999999998</v>
      </c>
      <c r="G188" s="7">
        <v>8.2000000000000007E-3</v>
      </c>
    </row>
    <row r="189" spans="2:7" x14ac:dyDescent="0.3">
      <c r="B189" s="12">
        <v>40544</v>
      </c>
      <c r="C189" s="6">
        <v>3.6589999999999998</v>
      </c>
      <c r="D189" s="6">
        <v>3.4319999999999999</v>
      </c>
      <c r="E189" s="6">
        <v>3.7280000000000002</v>
      </c>
      <c r="F189" s="6">
        <v>3.415</v>
      </c>
      <c r="G189" s="7">
        <v>7.7799999999999994E-2</v>
      </c>
    </row>
    <row r="190" spans="2:7" x14ac:dyDescent="0.3">
      <c r="B190" s="12">
        <v>40190</v>
      </c>
      <c r="C190" s="6">
        <v>3.395</v>
      </c>
      <c r="D190" s="6">
        <v>3.262</v>
      </c>
      <c r="E190" s="6">
        <v>3.66</v>
      </c>
      <c r="F190" s="6">
        <v>3.262</v>
      </c>
      <c r="G190" s="7">
        <v>5.3699999999999998E-2</v>
      </c>
    </row>
    <row r="191" spans="2:7" x14ac:dyDescent="0.3">
      <c r="B191" s="12">
        <v>40189</v>
      </c>
      <c r="C191" s="6">
        <v>3.222</v>
      </c>
      <c r="D191" s="6">
        <v>3.0859999999999999</v>
      </c>
      <c r="E191" s="6">
        <v>3.42</v>
      </c>
      <c r="F191" s="6">
        <v>2.9319999999999999</v>
      </c>
      <c r="G191" s="7">
        <v>4.8800000000000003E-2</v>
      </c>
    </row>
    <row r="192" spans="2:7" x14ac:dyDescent="0.3">
      <c r="B192" s="12">
        <v>40188</v>
      </c>
      <c r="C192" s="6">
        <v>3.0720000000000001</v>
      </c>
      <c r="D192" s="6">
        <v>2.94</v>
      </c>
      <c r="E192" s="6">
        <v>3.1920000000000002</v>
      </c>
      <c r="F192" s="6">
        <v>2.8159999999999998</v>
      </c>
      <c r="G192" s="7">
        <v>4.2799999999999998E-2</v>
      </c>
    </row>
    <row r="193" spans="2:7" x14ac:dyDescent="0.3">
      <c r="B193" s="12">
        <v>40187</v>
      </c>
      <c r="C193" s="6">
        <v>2.9460000000000002</v>
      </c>
      <c r="D193" s="6">
        <v>2.8359999999999999</v>
      </c>
      <c r="E193" s="6">
        <v>3.1930000000000001</v>
      </c>
      <c r="F193" s="6">
        <v>2.8279999999999998</v>
      </c>
      <c r="G193" s="7">
        <v>3.95E-2</v>
      </c>
    </row>
    <row r="194" spans="2:7" x14ac:dyDescent="0.3">
      <c r="B194" s="12">
        <v>40186</v>
      </c>
      <c r="C194" s="6">
        <v>2.8340000000000001</v>
      </c>
      <c r="D194" s="6">
        <v>3.34</v>
      </c>
      <c r="E194" s="6">
        <v>3.3740000000000001</v>
      </c>
      <c r="F194" s="6">
        <v>2.79</v>
      </c>
      <c r="G194" s="7">
        <v>-0.14949999999999999</v>
      </c>
    </row>
    <row r="195" spans="2:7" x14ac:dyDescent="0.3">
      <c r="B195" s="12">
        <v>40185</v>
      </c>
      <c r="C195" s="6">
        <v>3.3319999999999999</v>
      </c>
      <c r="D195" s="6">
        <v>3.3530000000000002</v>
      </c>
      <c r="E195" s="6">
        <v>3.5369999999999999</v>
      </c>
      <c r="F195" s="6">
        <v>3.2970000000000002</v>
      </c>
      <c r="G195" s="7">
        <v>-7.7000000000000002E-3</v>
      </c>
    </row>
    <row r="196" spans="2:7" x14ac:dyDescent="0.3">
      <c r="B196" s="12">
        <v>40184</v>
      </c>
      <c r="C196" s="6">
        <v>3.3580000000000001</v>
      </c>
      <c r="D196" s="6">
        <v>3.5270000000000001</v>
      </c>
      <c r="E196" s="6">
        <v>3.6219999999999999</v>
      </c>
      <c r="F196" s="6">
        <v>3.3050000000000002</v>
      </c>
      <c r="G196" s="7">
        <v>-6.4100000000000004E-2</v>
      </c>
    </row>
    <row r="197" spans="2:7" x14ac:dyDescent="0.3">
      <c r="B197" s="12">
        <v>40183</v>
      </c>
      <c r="C197" s="6">
        <v>3.5880000000000001</v>
      </c>
      <c r="D197" s="6">
        <v>3.8839999999999999</v>
      </c>
      <c r="E197" s="6">
        <v>4.0250000000000004</v>
      </c>
      <c r="F197" s="6">
        <v>3.4319999999999999</v>
      </c>
      <c r="G197" s="7">
        <v>-8.3299999999999999E-2</v>
      </c>
    </row>
    <row r="198" spans="2:7" x14ac:dyDescent="0.3">
      <c r="B198" s="12">
        <v>40182</v>
      </c>
      <c r="C198" s="6">
        <v>3.9140000000000001</v>
      </c>
      <c r="D198" s="6">
        <v>3.9140000000000001</v>
      </c>
      <c r="E198" s="6">
        <v>3.9140000000000001</v>
      </c>
      <c r="F198" s="6">
        <v>3.9140000000000001</v>
      </c>
      <c r="G198" s="7">
        <v>-7.9000000000000008E-3</v>
      </c>
    </row>
    <row r="199" spans="2:7" x14ac:dyDescent="0.3">
      <c r="B199" s="12">
        <v>40181</v>
      </c>
      <c r="C199" s="6">
        <v>3.9449999999999998</v>
      </c>
      <c r="D199" s="6">
        <v>3.9449999999999998</v>
      </c>
      <c r="E199" s="6">
        <v>3.9449999999999998</v>
      </c>
      <c r="F199" s="6">
        <v>3.9449999999999998</v>
      </c>
      <c r="G199" s="7">
        <v>-2.1600000000000001E-2</v>
      </c>
    </row>
    <row r="200" spans="2:7" x14ac:dyDescent="0.3">
      <c r="B200" s="12">
        <v>40180</v>
      </c>
      <c r="C200" s="6">
        <v>4.032</v>
      </c>
      <c r="D200" s="6">
        <v>4.032</v>
      </c>
      <c r="E200" s="6">
        <v>4.032</v>
      </c>
      <c r="F200" s="6">
        <v>4.032</v>
      </c>
      <c r="G200" s="7">
        <v>3.3799999999999997E-2</v>
      </c>
    </row>
    <row r="201" spans="2:7" x14ac:dyDescent="0.3">
      <c r="B201" s="12">
        <v>40179</v>
      </c>
      <c r="C201" s="6">
        <v>3.9</v>
      </c>
      <c r="D201" s="6">
        <v>3.9</v>
      </c>
      <c r="E201" s="6">
        <v>3.9</v>
      </c>
      <c r="F201" s="6">
        <v>3.9</v>
      </c>
      <c r="G201" s="7">
        <v>-2.7900000000000001E-2</v>
      </c>
    </row>
    <row r="202" spans="2:7" x14ac:dyDescent="0.3">
      <c r="B202" s="12">
        <v>39825</v>
      </c>
      <c r="C202" s="6">
        <v>4.0119999999999996</v>
      </c>
      <c r="D202" s="6">
        <v>4.0119999999999996</v>
      </c>
      <c r="E202" s="6">
        <v>4.0119999999999996</v>
      </c>
      <c r="F202" s="6">
        <v>4.0119999999999996</v>
      </c>
      <c r="G202" s="7">
        <v>0.13819999999999999</v>
      </c>
    </row>
    <row r="203" spans="2:7" x14ac:dyDescent="0.3">
      <c r="B203" s="12">
        <v>39824</v>
      </c>
      <c r="C203" s="6">
        <v>3.5249999999999999</v>
      </c>
      <c r="D203" s="6">
        <v>3.5249999999999999</v>
      </c>
      <c r="E203" s="6">
        <v>3.5249999999999999</v>
      </c>
      <c r="F203" s="6">
        <v>3.5249999999999999</v>
      </c>
      <c r="G203" s="7">
        <v>-2.41E-2</v>
      </c>
    </row>
    <row r="204" spans="2:7" x14ac:dyDescent="0.3">
      <c r="B204" s="12">
        <v>39823</v>
      </c>
      <c r="C204" s="6">
        <v>3.6120000000000001</v>
      </c>
      <c r="D204" s="6">
        <v>3.6120000000000001</v>
      </c>
      <c r="E204" s="6">
        <v>3.6120000000000001</v>
      </c>
      <c r="F204" s="6">
        <v>3.6120000000000001</v>
      </c>
      <c r="G204" s="7">
        <v>5.5999999999999999E-3</v>
      </c>
    </row>
    <row r="205" spans="2:7" x14ac:dyDescent="0.3">
      <c r="B205" s="12">
        <v>39822</v>
      </c>
      <c r="C205" s="6">
        <v>3.5920000000000001</v>
      </c>
      <c r="D205" s="6">
        <v>3.5920000000000001</v>
      </c>
      <c r="E205" s="6">
        <v>3.5920000000000001</v>
      </c>
      <c r="F205" s="6">
        <v>3.5920000000000001</v>
      </c>
      <c r="G205" s="7">
        <v>1.3299999999999999E-2</v>
      </c>
    </row>
    <row r="206" spans="2:7" x14ac:dyDescent="0.3">
      <c r="B206" s="12">
        <v>39821</v>
      </c>
      <c r="C206" s="6">
        <v>3.5449999999999999</v>
      </c>
      <c r="D206" s="6">
        <v>3.5449999999999999</v>
      </c>
      <c r="E206" s="6">
        <v>3.5449999999999999</v>
      </c>
      <c r="F206" s="6">
        <v>3.5449999999999999</v>
      </c>
      <c r="G206" s="7">
        <v>-6.6900000000000001E-2</v>
      </c>
    </row>
    <row r="207" spans="2:7" x14ac:dyDescent="0.3">
      <c r="B207" s="12">
        <v>39820</v>
      </c>
      <c r="C207" s="6">
        <v>3.7989999999999999</v>
      </c>
      <c r="D207" s="6">
        <v>3.7989999999999999</v>
      </c>
      <c r="E207" s="6">
        <v>3.7989999999999999</v>
      </c>
      <c r="F207" s="6">
        <v>3.7989999999999999</v>
      </c>
      <c r="G207" s="7">
        <v>3.1800000000000002E-2</v>
      </c>
    </row>
    <row r="208" spans="2:7" x14ac:dyDescent="0.3">
      <c r="B208" s="12">
        <v>39819</v>
      </c>
      <c r="C208" s="6">
        <v>3.6819999999999999</v>
      </c>
      <c r="D208" s="6">
        <v>3.6819999999999999</v>
      </c>
      <c r="E208" s="6">
        <v>3.6819999999999999</v>
      </c>
      <c r="F208" s="6">
        <v>3.6819999999999999</v>
      </c>
      <c r="G208" s="7">
        <v>-1.23E-2</v>
      </c>
    </row>
    <row r="209" spans="2:7" x14ac:dyDescent="0.3">
      <c r="B209" s="12">
        <v>39818</v>
      </c>
      <c r="C209" s="6">
        <v>3.7280000000000002</v>
      </c>
      <c r="D209" s="6">
        <v>3.7280000000000002</v>
      </c>
      <c r="E209" s="6">
        <v>3.7280000000000002</v>
      </c>
      <c r="F209" s="6">
        <v>3.7280000000000002</v>
      </c>
      <c r="G209" s="7">
        <v>7.0300000000000001E-2</v>
      </c>
    </row>
    <row r="210" spans="2:7" x14ac:dyDescent="0.3">
      <c r="B210" s="12">
        <v>39817</v>
      </c>
      <c r="C210" s="6">
        <v>3.4830000000000001</v>
      </c>
      <c r="D210" s="6">
        <v>3.4830000000000001</v>
      </c>
      <c r="E210" s="6">
        <v>3.4830000000000001</v>
      </c>
      <c r="F210" s="6">
        <v>3.4830000000000001</v>
      </c>
      <c r="G210" s="7">
        <v>0.1033</v>
      </c>
    </row>
    <row r="211" spans="2:7" x14ac:dyDescent="0.3">
      <c r="B211" s="12">
        <v>39816</v>
      </c>
      <c r="C211" s="6">
        <v>3.157</v>
      </c>
      <c r="D211" s="6">
        <v>3.157</v>
      </c>
      <c r="E211" s="6">
        <v>3.157</v>
      </c>
      <c r="F211" s="6">
        <v>3.157</v>
      </c>
      <c r="G211" s="7">
        <v>-0.13270000000000001</v>
      </c>
    </row>
    <row r="212" spans="2:7" x14ac:dyDescent="0.3">
      <c r="B212" s="12">
        <v>39815</v>
      </c>
      <c r="C212" s="6">
        <v>3.64</v>
      </c>
      <c r="D212" s="6">
        <v>3.64</v>
      </c>
      <c r="E212" s="6">
        <v>3.64</v>
      </c>
      <c r="F212" s="6">
        <v>3.64</v>
      </c>
      <c r="G212" s="7">
        <v>-1.67E-2</v>
      </c>
    </row>
    <row r="213" spans="2:7" x14ac:dyDescent="0.3">
      <c r="B213" s="12">
        <v>39814</v>
      </c>
      <c r="C213" s="6">
        <v>3.702</v>
      </c>
      <c r="D213" s="6">
        <v>3.702</v>
      </c>
      <c r="E213" s="6">
        <v>3.702</v>
      </c>
      <c r="F213" s="6">
        <v>3.702</v>
      </c>
      <c r="G213" s="7">
        <v>0.22700000000000001</v>
      </c>
    </row>
    <row r="214" spans="2:7" x14ac:dyDescent="0.3">
      <c r="B214" s="12">
        <v>39459</v>
      </c>
      <c r="C214" s="6">
        <v>3.0169999999999999</v>
      </c>
      <c r="D214" s="6">
        <v>3.0169999999999999</v>
      </c>
      <c r="E214" s="6">
        <v>3.0169999999999999</v>
      </c>
      <c r="F214" s="6">
        <v>3.0169999999999999</v>
      </c>
      <c r="G214" s="7">
        <v>-0.20039999999999999</v>
      </c>
    </row>
    <row r="215" spans="2:7" x14ac:dyDescent="0.3">
      <c r="B215" s="12">
        <v>39458</v>
      </c>
      <c r="C215" s="6">
        <v>3.7730000000000001</v>
      </c>
      <c r="D215" s="6">
        <v>3.7730000000000001</v>
      </c>
      <c r="E215" s="6">
        <v>3.7730000000000001</v>
      </c>
      <c r="F215" s="6">
        <v>3.7730000000000001</v>
      </c>
      <c r="G215" s="7">
        <v>-0.16339999999999999</v>
      </c>
    </row>
    <row r="216" spans="2:7" x14ac:dyDescent="0.3">
      <c r="B216" s="12">
        <v>39457</v>
      </c>
      <c r="C216" s="6">
        <v>4.51</v>
      </c>
      <c r="D216" s="6">
        <v>4.51</v>
      </c>
      <c r="E216" s="6">
        <v>4.51</v>
      </c>
      <c r="F216" s="6">
        <v>4.51</v>
      </c>
      <c r="G216" s="7">
        <v>1.21E-2</v>
      </c>
    </row>
    <row r="217" spans="2:7" x14ac:dyDescent="0.3">
      <c r="B217" s="12">
        <v>39456</v>
      </c>
      <c r="C217" s="6">
        <v>4.4560000000000004</v>
      </c>
      <c r="D217" s="6">
        <v>4.4560000000000004</v>
      </c>
      <c r="E217" s="6">
        <v>4.4560000000000004</v>
      </c>
      <c r="F217" s="6">
        <v>4.4560000000000004</v>
      </c>
      <c r="G217" s="7">
        <v>-5.1000000000000004E-3</v>
      </c>
    </row>
    <row r="218" spans="2:7" x14ac:dyDescent="0.3">
      <c r="B218" s="12">
        <v>39455</v>
      </c>
      <c r="C218" s="6">
        <v>4.4790000000000001</v>
      </c>
      <c r="D218" s="6">
        <v>4.4790000000000001</v>
      </c>
      <c r="E218" s="6">
        <v>4.4790000000000001</v>
      </c>
      <c r="F218" s="6">
        <v>4.4790000000000001</v>
      </c>
      <c r="G218" s="7">
        <v>-6.8599999999999994E-2</v>
      </c>
    </row>
    <row r="219" spans="2:7" x14ac:dyDescent="0.3">
      <c r="B219" s="12">
        <v>39454</v>
      </c>
      <c r="C219" s="6">
        <v>4.8090000000000002</v>
      </c>
      <c r="D219" s="6">
        <v>4.8090000000000002</v>
      </c>
      <c r="E219" s="6">
        <v>4.8090000000000002</v>
      </c>
      <c r="F219" s="6">
        <v>4.8090000000000002</v>
      </c>
      <c r="G219" s="7">
        <v>-6.2600000000000003E-2</v>
      </c>
    </row>
    <row r="220" spans="2:7" x14ac:dyDescent="0.3">
      <c r="B220" s="12">
        <v>39453</v>
      </c>
      <c r="C220" s="6">
        <v>5.13</v>
      </c>
      <c r="D220" s="6">
        <v>5.13</v>
      </c>
      <c r="E220" s="6">
        <v>5.13</v>
      </c>
      <c r="F220" s="6">
        <v>5.13</v>
      </c>
      <c r="G220" s="7">
        <v>3.1199999999999999E-2</v>
      </c>
    </row>
    <row r="221" spans="2:7" x14ac:dyDescent="0.3">
      <c r="B221" s="12">
        <v>39452</v>
      </c>
      <c r="C221" s="6">
        <v>4.9749999999999996</v>
      </c>
      <c r="D221" s="6">
        <v>4.9749999999999996</v>
      </c>
      <c r="E221" s="6">
        <v>4.9749999999999996</v>
      </c>
      <c r="F221" s="6">
        <v>4.9749999999999996</v>
      </c>
      <c r="G221" s="7">
        <v>6.4600000000000005E-2</v>
      </c>
    </row>
    <row r="222" spans="2:7" x14ac:dyDescent="0.3">
      <c r="B222" s="12">
        <v>39451</v>
      </c>
      <c r="C222" s="6">
        <v>4.673</v>
      </c>
      <c r="D222" s="6">
        <v>4.673</v>
      </c>
      <c r="E222" s="6">
        <v>4.673</v>
      </c>
      <c r="F222" s="6">
        <v>4.673</v>
      </c>
      <c r="G222" s="7">
        <v>7.3499999999999996E-2</v>
      </c>
    </row>
    <row r="223" spans="2:7" x14ac:dyDescent="0.3">
      <c r="B223" s="12">
        <v>39450</v>
      </c>
      <c r="C223" s="6">
        <v>4.3529999999999998</v>
      </c>
      <c r="D223" s="6">
        <v>4.3529999999999998</v>
      </c>
      <c r="E223" s="6">
        <v>4.3529999999999998</v>
      </c>
      <c r="F223" s="6">
        <v>4.3529999999999998</v>
      </c>
      <c r="G223" s="7">
        <v>-5.4300000000000001E-2</v>
      </c>
    </row>
    <row r="224" spans="2:7" x14ac:dyDescent="0.3">
      <c r="B224" s="12">
        <v>39449</v>
      </c>
      <c r="C224" s="6">
        <v>4.6029999999999998</v>
      </c>
      <c r="D224" s="6">
        <v>4.6029999999999998</v>
      </c>
      <c r="E224" s="6">
        <v>4.6029999999999998</v>
      </c>
      <c r="F224" s="6">
        <v>4.6029999999999998</v>
      </c>
      <c r="G224" s="7">
        <v>-3.8999999999999998E-3</v>
      </c>
    </row>
    <row r="225" spans="2:7" x14ac:dyDescent="0.3">
      <c r="B225" s="12">
        <v>39448</v>
      </c>
      <c r="C225" s="6">
        <v>4.6210000000000004</v>
      </c>
      <c r="D225" s="6">
        <v>4.6210000000000004</v>
      </c>
      <c r="E225" s="6">
        <v>4.6210000000000004</v>
      </c>
      <c r="F225" s="6">
        <v>4.6210000000000004</v>
      </c>
      <c r="G225" s="7">
        <v>1.6999999999999999E-3</v>
      </c>
    </row>
    <row r="226" spans="2:7" x14ac:dyDescent="0.3">
      <c r="B226" s="12">
        <v>39094</v>
      </c>
      <c r="C226" s="6">
        <v>4.6130000000000004</v>
      </c>
      <c r="D226" s="6">
        <v>4.6130000000000004</v>
      </c>
      <c r="E226" s="6">
        <v>4.6130000000000004</v>
      </c>
      <c r="F226" s="6">
        <v>4.6130000000000004</v>
      </c>
      <c r="G226" s="7">
        <v>-2.2000000000000001E-3</v>
      </c>
    </row>
    <row r="227" spans="2:7" x14ac:dyDescent="0.3">
      <c r="B227" s="12">
        <v>39093</v>
      </c>
      <c r="C227" s="6">
        <v>4.6230000000000002</v>
      </c>
      <c r="D227" s="6">
        <v>4.6230000000000002</v>
      </c>
      <c r="E227" s="6">
        <v>4.6230000000000002</v>
      </c>
      <c r="F227" s="6">
        <v>4.6230000000000002</v>
      </c>
      <c r="G227" s="7">
        <v>-6.3600000000000004E-2</v>
      </c>
    </row>
    <row r="228" spans="2:7" x14ac:dyDescent="0.3">
      <c r="B228" s="12">
        <v>39092</v>
      </c>
      <c r="C228" s="6">
        <v>4.9370000000000003</v>
      </c>
      <c r="D228" s="6">
        <v>4.9370000000000003</v>
      </c>
      <c r="E228" s="6">
        <v>4.9370000000000003</v>
      </c>
      <c r="F228" s="6">
        <v>4.9370000000000003</v>
      </c>
      <c r="G228" s="7">
        <v>-2.76E-2</v>
      </c>
    </row>
    <row r="229" spans="2:7" x14ac:dyDescent="0.3">
      <c r="B229" s="12">
        <v>39091</v>
      </c>
      <c r="C229" s="6">
        <v>5.077</v>
      </c>
      <c r="D229" s="6">
        <v>5.077</v>
      </c>
      <c r="E229" s="6">
        <v>5.077</v>
      </c>
      <c r="F229" s="6">
        <v>5.077</v>
      </c>
      <c r="G229" s="7">
        <v>1.3599999999999999E-2</v>
      </c>
    </row>
    <row r="230" spans="2:7" x14ac:dyDescent="0.3">
      <c r="B230" s="12">
        <v>39090</v>
      </c>
      <c r="C230" s="6">
        <v>5.0090000000000003</v>
      </c>
      <c r="D230" s="6">
        <v>5.0090000000000003</v>
      </c>
      <c r="E230" s="6">
        <v>5.0090000000000003</v>
      </c>
      <c r="F230" s="6">
        <v>5.0090000000000003</v>
      </c>
      <c r="G230" s="7">
        <v>-3.56E-2</v>
      </c>
    </row>
    <row r="231" spans="2:7" x14ac:dyDescent="0.3">
      <c r="B231" s="12">
        <v>39089</v>
      </c>
      <c r="C231" s="6">
        <v>5.194</v>
      </c>
      <c r="D231" s="6">
        <v>5.194</v>
      </c>
      <c r="E231" s="6">
        <v>5.194</v>
      </c>
      <c r="F231" s="6">
        <v>5.194</v>
      </c>
      <c r="G231" s="7">
        <v>-4.6399999999999997E-2</v>
      </c>
    </row>
    <row r="232" spans="2:7" x14ac:dyDescent="0.3">
      <c r="B232" s="12">
        <v>39088</v>
      </c>
      <c r="C232" s="6">
        <v>5.4470000000000001</v>
      </c>
      <c r="D232" s="6">
        <v>5.4470000000000001</v>
      </c>
      <c r="E232" s="6">
        <v>5.4470000000000001</v>
      </c>
      <c r="F232" s="6">
        <v>5.4470000000000001</v>
      </c>
      <c r="G232" s="7">
        <v>4.2099999999999999E-2</v>
      </c>
    </row>
    <row r="233" spans="2:7" x14ac:dyDescent="0.3">
      <c r="B233" s="12">
        <v>39087</v>
      </c>
      <c r="C233" s="6">
        <v>5.2270000000000003</v>
      </c>
      <c r="D233" s="6">
        <v>5.2270000000000003</v>
      </c>
      <c r="E233" s="6">
        <v>5.2270000000000003</v>
      </c>
      <c r="F233" s="6">
        <v>5.2270000000000003</v>
      </c>
      <c r="G233" s="7">
        <v>2.3099999999999999E-2</v>
      </c>
    </row>
    <row r="234" spans="2:7" x14ac:dyDescent="0.3">
      <c r="B234" s="12">
        <v>39086</v>
      </c>
      <c r="C234" s="6">
        <v>5.109</v>
      </c>
      <c r="D234" s="6">
        <v>5.109</v>
      </c>
      <c r="E234" s="6">
        <v>5.109</v>
      </c>
      <c r="F234" s="6">
        <v>5.109</v>
      </c>
      <c r="G234" s="7">
        <v>3.5299999999999998E-2</v>
      </c>
    </row>
    <row r="235" spans="2:7" x14ac:dyDescent="0.3">
      <c r="B235" s="12">
        <v>39085</v>
      </c>
      <c r="C235" s="6">
        <v>4.9349999999999996</v>
      </c>
      <c r="D235" s="6">
        <v>4.9349999999999996</v>
      </c>
      <c r="E235" s="6">
        <v>4.9349999999999996</v>
      </c>
      <c r="F235" s="6">
        <v>4.9349999999999996</v>
      </c>
      <c r="G235" s="7">
        <v>2.6800000000000001E-2</v>
      </c>
    </row>
    <row r="236" spans="2:7" x14ac:dyDescent="0.3">
      <c r="B236" s="12">
        <v>39084</v>
      </c>
      <c r="C236" s="6">
        <v>4.806</v>
      </c>
      <c r="D236" s="6">
        <v>4.806</v>
      </c>
      <c r="E236" s="6">
        <v>4.806</v>
      </c>
      <c r="F236" s="6">
        <v>4.806</v>
      </c>
      <c r="G236" s="7">
        <v>-3.6900000000000002E-2</v>
      </c>
    </row>
    <row r="237" spans="2:7" x14ac:dyDescent="0.3">
      <c r="B237" s="12">
        <v>39083</v>
      </c>
      <c r="C237" s="6">
        <v>4.99</v>
      </c>
      <c r="D237" s="6">
        <v>4.99</v>
      </c>
      <c r="E237" s="6">
        <v>4.99</v>
      </c>
      <c r="F237" s="6">
        <v>4.99</v>
      </c>
      <c r="G237" s="7">
        <v>4.1799999999999997E-2</v>
      </c>
    </row>
    <row r="238" spans="2:7" x14ac:dyDescent="0.3">
      <c r="B238" s="12">
        <v>38729</v>
      </c>
      <c r="C238" s="6">
        <v>4.79</v>
      </c>
      <c r="D238" s="6">
        <v>4.79</v>
      </c>
      <c r="E238" s="6">
        <v>4.79</v>
      </c>
      <c r="F238" s="6">
        <v>4.79</v>
      </c>
      <c r="G238" s="7">
        <v>5.4100000000000002E-2</v>
      </c>
    </row>
    <row r="239" spans="2:7" x14ac:dyDescent="0.3">
      <c r="B239" s="12">
        <v>38728</v>
      </c>
      <c r="C239" s="6">
        <v>4.5439999999999996</v>
      </c>
      <c r="D239" s="6">
        <v>4.5439999999999996</v>
      </c>
      <c r="E239" s="6">
        <v>4.5439999999999996</v>
      </c>
      <c r="F239" s="6">
        <v>4.5439999999999996</v>
      </c>
      <c r="G239" s="7">
        <v>-4.4000000000000003E-3</v>
      </c>
    </row>
    <row r="240" spans="2:7" x14ac:dyDescent="0.3">
      <c r="B240" s="12">
        <v>38727</v>
      </c>
      <c r="C240" s="6">
        <v>4.5640000000000001</v>
      </c>
      <c r="D240" s="6">
        <v>4.5640000000000001</v>
      </c>
      <c r="E240" s="6">
        <v>4.5640000000000001</v>
      </c>
      <c r="F240" s="6">
        <v>4.5640000000000001</v>
      </c>
      <c r="G240" s="7">
        <v>1.5800000000000002E-2</v>
      </c>
    </row>
    <row r="241" spans="2:7" x14ac:dyDescent="0.3">
      <c r="B241" s="12">
        <v>38726</v>
      </c>
      <c r="C241" s="6">
        <v>4.4930000000000003</v>
      </c>
      <c r="D241" s="6">
        <v>4.4930000000000003</v>
      </c>
      <c r="E241" s="6">
        <v>4.4930000000000003</v>
      </c>
      <c r="F241" s="6">
        <v>4.4930000000000003</v>
      </c>
      <c r="G241" s="7">
        <v>-1.2699999999999999E-2</v>
      </c>
    </row>
    <row r="242" spans="2:7" x14ac:dyDescent="0.3">
      <c r="B242" s="12">
        <v>38725</v>
      </c>
      <c r="C242" s="6">
        <v>4.5510000000000002</v>
      </c>
      <c r="D242" s="6">
        <v>4.5510000000000002</v>
      </c>
      <c r="E242" s="6">
        <v>4.5510000000000002</v>
      </c>
      <c r="F242" s="6">
        <v>4.5510000000000002</v>
      </c>
      <c r="G242" s="7">
        <v>-8.6999999999999994E-3</v>
      </c>
    </row>
    <row r="243" spans="2:7" x14ac:dyDescent="0.3">
      <c r="B243" s="12">
        <v>38724</v>
      </c>
      <c r="C243" s="6">
        <v>4.5910000000000002</v>
      </c>
      <c r="D243" s="6">
        <v>4.5910000000000002</v>
      </c>
      <c r="E243" s="6">
        <v>4.5910000000000002</v>
      </c>
      <c r="F243" s="6">
        <v>4.5910000000000002</v>
      </c>
      <c r="G243" s="7">
        <v>-2.6100000000000002E-2</v>
      </c>
    </row>
    <row r="244" spans="2:7" x14ac:dyDescent="0.3">
      <c r="B244" s="12">
        <v>38723</v>
      </c>
      <c r="C244" s="6">
        <v>4.7140000000000004</v>
      </c>
      <c r="D244" s="6">
        <v>4.7140000000000004</v>
      </c>
      <c r="E244" s="6">
        <v>4.7140000000000004</v>
      </c>
      <c r="F244" s="6">
        <v>4.7140000000000004</v>
      </c>
      <c r="G244" s="7">
        <v>3.1099999999999999E-2</v>
      </c>
    </row>
    <row r="245" spans="2:7" x14ac:dyDescent="0.3">
      <c r="B245" s="12">
        <v>38722</v>
      </c>
      <c r="C245" s="6">
        <v>4.5720000000000001</v>
      </c>
      <c r="D245" s="6">
        <v>4.5720000000000001</v>
      </c>
      <c r="E245" s="6">
        <v>4.5720000000000001</v>
      </c>
      <c r="F245" s="6">
        <v>4.5720000000000001</v>
      </c>
      <c r="G245" s="7">
        <v>-1.47E-2</v>
      </c>
    </row>
    <row r="246" spans="2:7" x14ac:dyDescent="0.3">
      <c r="B246" s="12">
        <v>38721</v>
      </c>
      <c r="C246" s="6">
        <v>4.6399999999999997</v>
      </c>
      <c r="D246" s="6">
        <v>4.6399999999999997</v>
      </c>
      <c r="E246" s="6">
        <v>4.6399999999999997</v>
      </c>
      <c r="F246" s="6">
        <v>4.6399999999999997</v>
      </c>
      <c r="G246" s="7">
        <v>5.67E-2</v>
      </c>
    </row>
    <row r="247" spans="2:7" x14ac:dyDescent="0.3">
      <c r="B247" s="12">
        <v>38720</v>
      </c>
      <c r="C247" s="6">
        <v>4.391</v>
      </c>
      <c r="D247" s="6">
        <v>4.391</v>
      </c>
      <c r="E247" s="6">
        <v>4.391</v>
      </c>
      <c r="F247" s="6">
        <v>4.391</v>
      </c>
      <c r="G247" s="7">
        <v>4.0300000000000002E-2</v>
      </c>
    </row>
    <row r="248" spans="2:7" x14ac:dyDescent="0.3">
      <c r="B248" s="12">
        <v>38719</v>
      </c>
      <c r="C248" s="6">
        <v>4.2210000000000001</v>
      </c>
      <c r="D248" s="6">
        <v>4.2210000000000001</v>
      </c>
      <c r="E248" s="6">
        <v>4.2210000000000001</v>
      </c>
      <c r="F248" s="6">
        <v>4.2210000000000001</v>
      </c>
      <c r="G248" s="7">
        <v>1.17E-2</v>
      </c>
    </row>
    <row r="249" spans="2:7" x14ac:dyDescent="0.3">
      <c r="B249" s="12">
        <v>38718</v>
      </c>
      <c r="C249" s="6">
        <v>4.1719999999999997</v>
      </c>
      <c r="D249" s="6">
        <v>4.1719999999999997</v>
      </c>
      <c r="E249" s="6">
        <v>4.1719999999999997</v>
      </c>
      <c r="F249" s="6">
        <v>4.1719999999999997</v>
      </c>
      <c r="G249" s="7">
        <v>1.34E-2</v>
      </c>
    </row>
    <row r="250" spans="2:7" x14ac:dyDescent="0.3">
      <c r="B250" s="12">
        <v>38364</v>
      </c>
      <c r="C250" s="6">
        <v>4.117</v>
      </c>
      <c r="D250" s="6">
        <v>4.117</v>
      </c>
      <c r="E250" s="6">
        <v>4.117</v>
      </c>
      <c r="F250" s="6">
        <v>4.117</v>
      </c>
      <c r="G250" s="7">
        <v>-2.63E-2</v>
      </c>
    </row>
    <row r="251" spans="2:7" x14ac:dyDescent="0.3">
      <c r="B251" s="12">
        <v>38363</v>
      </c>
      <c r="C251" s="6">
        <v>4.2279999999999998</v>
      </c>
      <c r="D251" s="6">
        <v>4.2279999999999998</v>
      </c>
      <c r="E251" s="6">
        <v>4.2279999999999998</v>
      </c>
      <c r="F251" s="6">
        <v>4.2279999999999998</v>
      </c>
      <c r="G251" s="7">
        <v>-2.92E-2</v>
      </c>
    </row>
    <row r="252" spans="2:7" x14ac:dyDescent="0.3">
      <c r="B252" s="12">
        <v>38362</v>
      </c>
      <c r="C252" s="6">
        <v>4.3550000000000004</v>
      </c>
      <c r="D252" s="6">
        <v>4.3550000000000004</v>
      </c>
      <c r="E252" s="6">
        <v>4.3550000000000004</v>
      </c>
      <c r="F252" s="6">
        <v>4.3550000000000004</v>
      </c>
      <c r="G252" s="7">
        <v>2.23E-2</v>
      </c>
    </row>
    <row r="253" spans="2:7" x14ac:dyDescent="0.3">
      <c r="B253" s="12">
        <v>38361</v>
      </c>
      <c r="C253" s="6">
        <v>4.26</v>
      </c>
      <c r="D253" s="6">
        <v>4.26</v>
      </c>
      <c r="E253" s="6">
        <v>4.26</v>
      </c>
      <c r="F253" s="6">
        <v>4.26</v>
      </c>
      <c r="G253" s="7">
        <v>2.0400000000000001E-2</v>
      </c>
    </row>
    <row r="254" spans="2:7" x14ac:dyDescent="0.3">
      <c r="B254" s="12">
        <v>38360</v>
      </c>
      <c r="C254" s="6">
        <v>4.1749999999999998</v>
      </c>
      <c r="D254" s="6">
        <v>4.1749999999999998</v>
      </c>
      <c r="E254" s="6">
        <v>4.1749999999999998</v>
      </c>
      <c r="F254" s="6">
        <v>4.1749999999999998</v>
      </c>
      <c r="G254" s="7">
        <v>-0.03</v>
      </c>
    </row>
    <row r="255" spans="2:7" x14ac:dyDescent="0.3">
      <c r="B255" s="12">
        <v>38359</v>
      </c>
      <c r="C255" s="6">
        <v>4.3040000000000003</v>
      </c>
      <c r="D255" s="6">
        <v>4.3040000000000003</v>
      </c>
      <c r="E255" s="6">
        <v>4.3040000000000003</v>
      </c>
      <c r="F255" s="6">
        <v>4.3040000000000003</v>
      </c>
      <c r="G255" s="7">
        <v>2.1100000000000001E-2</v>
      </c>
    </row>
    <row r="256" spans="2:7" x14ac:dyDescent="0.3">
      <c r="B256" s="12">
        <v>38358</v>
      </c>
      <c r="C256" s="6">
        <v>4.2149999999999999</v>
      </c>
      <c r="D256" s="6">
        <v>4.2149999999999999</v>
      </c>
      <c r="E256" s="6">
        <v>4.2149999999999999</v>
      </c>
      <c r="F256" s="6">
        <v>4.2149999999999999</v>
      </c>
      <c r="G256" s="7">
        <v>-4.2700000000000002E-2</v>
      </c>
    </row>
    <row r="257" spans="2:7" x14ac:dyDescent="0.3">
      <c r="B257" s="12">
        <v>38357</v>
      </c>
      <c r="C257" s="6">
        <v>4.4029999999999996</v>
      </c>
      <c r="D257" s="6">
        <v>4.4029999999999996</v>
      </c>
      <c r="E257" s="6">
        <v>4.4029999999999996</v>
      </c>
      <c r="F257" s="6">
        <v>4.4029999999999996</v>
      </c>
      <c r="G257" s="7">
        <v>-2.93E-2</v>
      </c>
    </row>
    <row r="258" spans="2:7" x14ac:dyDescent="0.3">
      <c r="B258" s="12">
        <v>38356</v>
      </c>
      <c r="C258" s="6">
        <v>4.5359999999999996</v>
      </c>
      <c r="D258" s="6">
        <v>4.5359999999999996</v>
      </c>
      <c r="E258" s="6">
        <v>4.5359999999999996</v>
      </c>
      <c r="F258" s="6">
        <v>4.5359999999999996</v>
      </c>
      <c r="G258" s="7">
        <v>-4.1000000000000002E-2</v>
      </c>
    </row>
    <row r="259" spans="2:7" x14ac:dyDescent="0.3">
      <c r="B259" s="12">
        <v>38355</v>
      </c>
      <c r="C259" s="6">
        <v>4.7300000000000004</v>
      </c>
      <c r="D259" s="6">
        <v>4.7300000000000004</v>
      </c>
      <c r="E259" s="6">
        <v>4.7300000000000004</v>
      </c>
      <c r="F259" s="6">
        <v>4.7300000000000004</v>
      </c>
      <c r="G259" s="7">
        <v>-6.4999999999999997E-3</v>
      </c>
    </row>
    <row r="260" spans="2:7" x14ac:dyDescent="0.3">
      <c r="B260" s="12">
        <v>38354</v>
      </c>
      <c r="C260" s="6">
        <v>4.7610000000000001</v>
      </c>
      <c r="D260" s="6">
        <v>4.7610000000000001</v>
      </c>
      <c r="E260" s="6">
        <v>4.7610000000000001</v>
      </c>
      <c r="F260" s="6">
        <v>4.7610000000000001</v>
      </c>
      <c r="G260" s="7">
        <v>3.4099999999999998E-2</v>
      </c>
    </row>
    <row r="261" spans="2:7" x14ac:dyDescent="0.3">
      <c r="B261" s="12">
        <v>38353</v>
      </c>
      <c r="C261" s="6">
        <v>4.6040000000000001</v>
      </c>
      <c r="D261" s="6">
        <v>4.6040000000000001</v>
      </c>
      <c r="E261" s="6">
        <v>4.6040000000000001</v>
      </c>
      <c r="F261" s="6">
        <v>4.6040000000000001</v>
      </c>
      <c r="G261" s="7">
        <v>6.6E-3</v>
      </c>
    </row>
    <row r="262" spans="2:7" x14ac:dyDescent="0.3">
      <c r="B262" s="12">
        <v>37998</v>
      </c>
      <c r="C262" s="6">
        <v>4.5739999999999998</v>
      </c>
      <c r="D262" s="6">
        <v>4.5739999999999998</v>
      </c>
      <c r="E262" s="6">
        <v>4.5739999999999998</v>
      </c>
      <c r="F262" s="6">
        <v>4.5739999999999998</v>
      </c>
      <c r="G262" s="7">
        <v>-4.5999999999999999E-3</v>
      </c>
    </row>
    <row r="263" spans="2:7" x14ac:dyDescent="0.3">
      <c r="B263" s="12">
        <v>37997</v>
      </c>
      <c r="C263" s="6">
        <v>4.5949999999999998</v>
      </c>
      <c r="D263" s="6">
        <v>4.5949999999999998</v>
      </c>
      <c r="E263" s="6">
        <v>4.5949999999999998</v>
      </c>
      <c r="F263" s="6">
        <v>4.5949999999999998</v>
      </c>
      <c r="G263" s="7">
        <v>-3.2199999999999999E-2</v>
      </c>
    </row>
    <row r="264" spans="2:7" x14ac:dyDescent="0.3">
      <c r="B264" s="12">
        <v>37996</v>
      </c>
      <c r="C264" s="6">
        <v>4.7480000000000002</v>
      </c>
      <c r="D264" s="6">
        <v>4.7480000000000002</v>
      </c>
      <c r="E264" s="6">
        <v>4.7480000000000002</v>
      </c>
      <c r="F264" s="6">
        <v>4.7480000000000002</v>
      </c>
      <c r="G264" s="7">
        <v>-1.7399999999999999E-2</v>
      </c>
    </row>
    <row r="265" spans="2:7" x14ac:dyDescent="0.3">
      <c r="B265" s="12">
        <v>37995</v>
      </c>
      <c r="C265" s="6">
        <v>4.8319999999999999</v>
      </c>
      <c r="D265" s="6">
        <v>4.8319999999999999</v>
      </c>
      <c r="E265" s="6">
        <v>4.8319999999999999</v>
      </c>
      <c r="F265" s="6">
        <v>4.8319999999999999</v>
      </c>
      <c r="G265" s="7">
        <v>-2.4799999999999999E-2</v>
      </c>
    </row>
    <row r="266" spans="2:7" x14ac:dyDescent="0.3">
      <c r="B266" s="12">
        <v>37994</v>
      </c>
      <c r="C266" s="6">
        <v>4.9550000000000001</v>
      </c>
      <c r="D266" s="6">
        <v>4.9550000000000001</v>
      </c>
      <c r="E266" s="6">
        <v>4.9550000000000001</v>
      </c>
      <c r="F266" s="6">
        <v>4.9550000000000001</v>
      </c>
      <c r="G266" s="7">
        <v>-4.1599999999999998E-2</v>
      </c>
    </row>
    <row r="267" spans="2:7" x14ac:dyDescent="0.3">
      <c r="B267" s="12">
        <v>37993</v>
      </c>
      <c r="C267" s="6">
        <v>5.17</v>
      </c>
      <c r="D267" s="6">
        <v>5.17</v>
      </c>
      <c r="E267" s="6">
        <v>5.17</v>
      </c>
      <c r="F267" s="6">
        <v>5.17</v>
      </c>
      <c r="G267" s="7">
        <v>1.35E-2</v>
      </c>
    </row>
    <row r="268" spans="2:7" x14ac:dyDescent="0.3">
      <c r="B268" s="12">
        <v>37992</v>
      </c>
      <c r="C268" s="6">
        <v>5.101</v>
      </c>
      <c r="D268" s="6">
        <v>5.101</v>
      </c>
      <c r="E268" s="6">
        <v>5.101</v>
      </c>
      <c r="F268" s="6">
        <v>5.101</v>
      </c>
      <c r="G268" s="7">
        <v>-9.7000000000000003E-3</v>
      </c>
    </row>
    <row r="269" spans="2:7" x14ac:dyDescent="0.3">
      <c r="B269" s="12">
        <v>37991</v>
      </c>
      <c r="C269" s="6">
        <v>5.1509999999999998</v>
      </c>
      <c r="D269" s="6">
        <v>5.1509999999999998</v>
      </c>
      <c r="E269" s="6">
        <v>5.1509999999999998</v>
      </c>
      <c r="F269" s="6">
        <v>5.1509999999999998</v>
      </c>
      <c r="G269" s="7">
        <v>3.3300000000000003E-2</v>
      </c>
    </row>
    <row r="270" spans="2:7" x14ac:dyDescent="0.3">
      <c r="B270" s="12">
        <v>37990</v>
      </c>
      <c r="C270" s="6">
        <v>4.9850000000000003</v>
      </c>
      <c r="D270" s="6">
        <v>4.9850000000000003</v>
      </c>
      <c r="E270" s="6">
        <v>4.9850000000000003</v>
      </c>
      <c r="F270" s="6">
        <v>4.9850000000000003</v>
      </c>
      <c r="G270" s="7">
        <v>4.0500000000000001E-2</v>
      </c>
    </row>
    <row r="271" spans="2:7" x14ac:dyDescent="0.3">
      <c r="B271" s="12">
        <v>37989</v>
      </c>
      <c r="C271" s="6">
        <v>4.7910000000000004</v>
      </c>
      <c r="D271" s="6">
        <v>4.7910000000000004</v>
      </c>
      <c r="E271" s="6">
        <v>4.7910000000000004</v>
      </c>
      <c r="F271" s="6">
        <v>4.7910000000000004</v>
      </c>
      <c r="G271" s="7">
        <v>6.3E-3</v>
      </c>
    </row>
    <row r="272" spans="2:7" x14ac:dyDescent="0.3">
      <c r="B272" s="12">
        <v>37988</v>
      </c>
      <c r="C272" s="6">
        <v>4.7610000000000001</v>
      </c>
      <c r="D272" s="6">
        <v>4.7610000000000001</v>
      </c>
      <c r="E272" s="6">
        <v>4.7610000000000001</v>
      </c>
      <c r="F272" s="6">
        <v>4.7610000000000001</v>
      </c>
      <c r="G272" s="7">
        <v>-2.92E-2</v>
      </c>
    </row>
    <row r="273" spans="2:7" x14ac:dyDescent="0.3">
      <c r="B273" s="12">
        <v>37987</v>
      </c>
      <c r="C273" s="6">
        <v>4.9039999999999999</v>
      </c>
      <c r="D273" s="6">
        <v>4.9039999999999999</v>
      </c>
      <c r="E273" s="6">
        <v>4.9039999999999999</v>
      </c>
      <c r="F273" s="6">
        <v>4.9039999999999999</v>
      </c>
      <c r="G273" s="7">
        <v>2.87E-2</v>
      </c>
    </row>
    <row r="274" spans="2:7" x14ac:dyDescent="0.3">
      <c r="B274" s="12">
        <v>37633</v>
      </c>
      <c r="C274" s="6">
        <v>4.7670000000000003</v>
      </c>
      <c r="D274" s="6">
        <v>4.7670000000000003</v>
      </c>
      <c r="E274" s="6">
        <v>4.7670000000000003</v>
      </c>
      <c r="F274" s="6">
        <v>4.7670000000000003</v>
      </c>
      <c r="G274" s="7">
        <v>-5.3199999999999997E-2</v>
      </c>
    </row>
    <row r="275" spans="2:7" x14ac:dyDescent="0.3">
      <c r="B275" s="12">
        <v>37632</v>
      </c>
      <c r="C275" s="6">
        <v>5.0350000000000001</v>
      </c>
      <c r="D275" s="6">
        <v>5.0350000000000001</v>
      </c>
      <c r="E275" s="6">
        <v>5.0350000000000001</v>
      </c>
      <c r="F275" s="6">
        <v>5.0350000000000001</v>
      </c>
      <c r="G275" s="7">
        <v>5.4000000000000003E-3</v>
      </c>
    </row>
    <row r="276" spans="2:7" x14ac:dyDescent="0.3">
      <c r="B276" s="12">
        <v>37631</v>
      </c>
      <c r="C276" s="6">
        <v>5.008</v>
      </c>
      <c r="D276" s="6">
        <v>5.008</v>
      </c>
      <c r="E276" s="6">
        <v>5.008</v>
      </c>
      <c r="F276" s="6">
        <v>5.008</v>
      </c>
      <c r="G276" s="7">
        <v>0.105</v>
      </c>
    </row>
    <row r="277" spans="2:7" x14ac:dyDescent="0.3">
      <c r="B277" s="12">
        <v>37630</v>
      </c>
      <c r="C277" s="6">
        <v>4.532</v>
      </c>
      <c r="D277" s="6">
        <v>4.532</v>
      </c>
      <c r="E277" s="6">
        <v>4.532</v>
      </c>
      <c r="F277" s="6">
        <v>4.532</v>
      </c>
      <c r="G277" s="7">
        <v>-1.54E-2</v>
      </c>
    </row>
    <row r="278" spans="2:7" x14ac:dyDescent="0.3">
      <c r="B278" s="12">
        <v>37629</v>
      </c>
      <c r="C278" s="6">
        <v>4.6029999999999998</v>
      </c>
      <c r="D278" s="6">
        <v>4.6029999999999998</v>
      </c>
      <c r="E278" s="6">
        <v>4.6029999999999998</v>
      </c>
      <c r="F278" s="6">
        <v>4.6029999999999998</v>
      </c>
      <c r="G278" s="7">
        <v>1.72E-2</v>
      </c>
    </row>
    <row r="279" spans="2:7" x14ac:dyDescent="0.3">
      <c r="B279" s="12">
        <v>37628</v>
      </c>
      <c r="C279" s="6">
        <v>4.5250000000000004</v>
      </c>
      <c r="D279" s="6">
        <v>4.5250000000000004</v>
      </c>
      <c r="E279" s="6">
        <v>4.5250000000000004</v>
      </c>
      <c r="F279" s="6">
        <v>4.5250000000000004</v>
      </c>
      <c r="G279" s="7">
        <v>8.8999999999999996E-2</v>
      </c>
    </row>
    <row r="280" spans="2:7" x14ac:dyDescent="0.3">
      <c r="B280" s="12">
        <v>37627</v>
      </c>
      <c r="C280" s="6">
        <v>4.1550000000000002</v>
      </c>
      <c r="D280" s="6">
        <v>4.1550000000000002</v>
      </c>
      <c r="E280" s="6">
        <v>4.1550000000000002</v>
      </c>
      <c r="F280" s="6">
        <v>4.1550000000000002</v>
      </c>
      <c r="G280" s="7">
        <v>2.3099999999999999E-2</v>
      </c>
    </row>
    <row r="281" spans="2:7" x14ac:dyDescent="0.3">
      <c r="B281" s="12">
        <v>37626</v>
      </c>
      <c r="C281" s="6">
        <v>4.0609999999999999</v>
      </c>
      <c r="D281" s="6">
        <v>4.0609999999999999</v>
      </c>
      <c r="E281" s="6">
        <v>4.0609999999999999</v>
      </c>
      <c r="F281" s="6">
        <v>4.0609999999999999</v>
      </c>
      <c r="G281" s="7">
        <v>-6.4100000000000004E-2</v>
      </c>
    </row>
    <row r="282" spans="2:7" x14ac:dyDescent="0.3">
      <c r="B282" s="12">
        <v>37625</v>
      </c>
      <c r="C282" s="6">
        <v>4.3390000000000004</v>
      </c>
      <c r="D282" s="6">
        <v>4.3390000000000004</v>
      </c>
      <c r="E282" s="6">
        <v>4.3390000000000004</v>
      </c>
      <c r="F282" s="6">
        <v>4.3390000000000004</v>
      </c>
      <c r="G282" s="7">
        <v>1.26E-2</v>
      </c>
    </row>
    <row r="283" spans="2:7" x14ac:dyDescent="0.3">
      <c r="B283" s="12">
        <v>37624</v>
      </c>
      <c r="C283" s="6">
        <v>4.2850000000000001</v>
      </c>
      <c r="D283" s="6">
        <v>4.2850000000000001</v>
      </c>
      <c r="E283" s="6">
        <v>4.2850000000000001</v>
      </c>
      <c r="F283" s="6">
        <v>4.2850000000000001</v>
      </c>
      <c r="G283" s="7">
        <v>2.98E-2</v>
      </c>
    </row>
    <row r="284" spans="2:7" x14ac:dyDescent="0.3">
      <c r="B284" s="12">
        <v>37623</v>
      </c>
      <c r="C284" s="6">
        <v>4.1609999999999996</v>
      </c>
      <c r="D284" s="6">
        <v>4.1609999999999996</v>
      </c>
      <c r="E284" s="6">
        <v>4.1609999999999996</v>
      </c>
      <c r="F284" s="6">
        <v>4.1609999999999996</v>
      </c>
      <c r="G284" s="7">
        <v>-2.6200000000000001E-2</v>
      </c>
    </row>
    <row r="285" spans="2:7" x14ac:dyDescent="0.3">
      <c r="B285" s="12">
        <v>37622</v>
      </c>
      <c r="C285" s="6">
        <v>4.2729999999999997</v>
      </c>
      <c r="D285" s="6">
        <v>4.2729999999999997</v>
      </c>
      <c r="E285" s="6">
        <v>4.2729999999999997</v>
      </c>
      <c r="F285" s="6">
        <v>4.2729999999999997</v>
      </c>
      <c r="G285" s="7">
        <v>-2.1100000000000001E-2</v>
      </c>
    </row>
    <row r="286" spans="2:7" x14ac:dyDescent="0.3">
      <c r="B286" s="12">
        <v>37268</v>
      </c>
      <c r="C286" s="6">
        <v>4.3650000000000002</v>
      </c>
      <c r="D286" s="6">
        <v>4.3650000000000002</v>
      </c>
      <c r="E286" s="6">
        <v>4.3650000000000002</v>
      </c>
      <c r="F286" s="6">
        <v>4.3650000000000002</v>
      </c>
      <c r="G286" s="7">
        <v>-6.5100000000000005E-2</v>
      </c>
    </row>
    <row r="287" spans="2:7" x14ac:dyDescent="0.3">
      <c r="B287" s="12">
        <v>37267</v>
      </c>
      <c r="C287" s="6">
        <v>4.6689999999999996</v>
      </c>
      <c r="D287" s="6">
        <v>4.6689999999999996</v>
      </c>
      <c r="E287" s="6">
        <v>4.6689999999999996</v>
      </c>
      <c r="F287" s="6">
        <v>4.6689999999999996</v>
      </c>
      <c r="G287" s="7">
        <v>2.5899999999999999E-2</v>
      </c>
    </row>
    <row r="288" spans="2:7" x14ac:dyDescent="0.3">
      <c r="B288" s="12">
        <v>37266</v>
      </c>
      <c r="C288" s="6">
        <v>4.5510000000000002</v>
      </c>
      <c r="D288" s="6">
        <v>4.5510000000000002</v>
      </c>
      <c r="E288" s="6">
        <v>4.5510000000000002</v>
      </c>
      <c r="F288" s="6">
        <v>4.5510000000000002</v>
      </c>
      <c r="G288" s="7">
        <v>4.24E-2</v>
      </c>
    </row>
    <row r="289" spans="2:7" x14ac:dyDescent="0.3">
      <c r="B289" s="12">
        <v>37265</v>
      </c>
      <c r="C289" s="6">
        <v>4.3659999999999997</v>
      </c>
      <c r="D289" s="6">
        <v>4.3659999999999997</v>
      </c>
      <c r="E289" s="6">
        <v>4.3659999999999997</v>
      </c>
      <c r="F289" s="6">
        <v>4.3659999999999997</v>
      </c>
      <c r="G289" s="7">
        <v>-5.3699999999999998E-2</v>
      </c>
    </row>
    <row r="290" spans="2:7" x14ac:dyDescent="0.3">
      <c r="B290" s="12">
        <v>37264</v>
      </c>
      <c r="C290" s="6">
        <v>4.6139999999999999</v>
      </c>
      <c r="D290" s="6">
        <v>4.6139999999999999</v>
      </c>
      <c r="E290" s="6">
        <v>4.6139999999999999</v>
      </c>
      <c r="F290" s="6">
        <v>4.6139999999999999</v>
      </c>
      <c r="G290" s="7">
        <v>-4.9099999999999998E-2</v>
      </c>
    </row>
    <row r="291" spans="2:7" x14ac:dyDescent="0.3">
      <c r="B291" s="12">
        <v>37263</v>
      </c>
      <c r="C291" s="6">
        <v>4.8520000000000003</v>
      </c>
      <c r="D291" s="6">
        <v>4.8520000000000003</v>
      </c>
      <c r="E291" s="6">
        <v>4.8520000000000003</v>
      </c>
      <c r="F291" s="6">
        <v>4.8520000000000003</v>
      </c>
      <c r="G291" s="7">
        <v>-0.03</v>
      </c>
    </row>
    <row r="292" spans="2:7" x14ac:dyDescent="0.3">
      <c r="B292" s="12">
        <v>37262</v>
      </c>
      <c r="C292" s="6">
        <v>5.0019999999999998</v>
      </c>
      <c r="D292" s="6">
        <v>5.0019999999999998</v>
      </c>
      <c r="E292" s="6">
        <v>5.0019999999999998</v>
      </c>
      <c r="F292" s="6">
        <v>5.0019999999999998</v>
      </c>
      <c r="G292" s="7">
        <v>-4.8500000000000001E-2</v>
      </c>
    </row>
    <row r="293" spans="2:7" x14ac:dyDescent="0.3">
      <c r="B293" s="12">
        <v>37261</v>
      </c>
      <c r="C293" s="6">
        <v>5.2569999999999997</v>
      </c>
      <c r="D293" s="6">
        <v>5.2569999999999997</v>
      </c>
      <c r="E293" s="6">
        <v>5.2569999999999997</v>
      </c>
      <c r="F293" s="6">
        <v>5.2569999999999997</v>
      </c>
      <c r="G293" s="7">
        <v>1.3899999999999999E-2</v>
      </c>
    </row>
    <row r="294" spans="2:7" x14ac:dyDescent="0.3">
      <c r="B294" s="12">
        <v>37260</v>
      </c>
      <c r="C294" s="6">
        <v>5.1849999999999996</v>
      </c>
      <c r="D294" s="6">
        <v>5.1849999999999996</v>
      </c>
      <c r="E294" s="6">
        <v>5.1849999999999996</v>
      </c>
      <c r="F294" s="6">
        <v>5.1849999999999996</v>
      </c>
      <c r="G294" s="7">
        <v>-0.02</v>
      </c>
    </row>
    <row r="295" spans="2:7" x14ac:dyDescent="0.3">
      <c r="B295" s="12">
        <v>37259</v>
      </c>
      <c r="C295" s="6">
        <v>5.2910000000000004</v>
      </c>
      <c r="D295" s="6">
        <v>5.2910000000000004</v>
      </c>
      <c r="E295" s="6">
        <v>5.2910000000000004</v>
      </c>
      <c r="F295" s="6">
        <v>5.2910000000000004</v>
      </c>
      <c r="G295" s="7">
        <v>6.2E-2</v>
      </c>
    </row>
    <row r="296" spans="2:7" x14ac:dyDescent="0.3">
      <c r="B296" s="12">
        <v>37258</v>
      </c>
      <c r="C296" s="6">
        <v>4.9820000000000002</v>
      </c>
      <c r="D296" s="6">
        <v>4.9820000000000002</v>
      </c>
      <c r="E296" s="6">
        <v>4.9820000000000002</v>
      </c>
      <c r="F296" s="6">
        <v>4.9820000000000002</v>
      </c>
      <c r="G296" s="7">
        <v>2.1299999999999999E-2</v>
      </c>
    </row>
    <row r="297" spans="2:7" x14ac:dyDescent="0.3">
      <c r="B297" s="12">
        <v>37257</v>
      </c>
      <c r="C297" s="6">
        <v>4.8780000000000001</v>
      </c>
      <c r="D297" s="6">
        <v>4.8780000000000001</v>
      </c>
      <c r="E297" s="6">
        <v>4.8780000000000001</v>
      </c>
      <c r="F297" s="6">
        <v>4.8780000000000001</v>
      </c>
      <c r="G297" s="7">
        <v>-3.44E-2</v>
      </c>
    </row>
    <row r="298" spans="2:7" x14ac:dyDescent="0.3">
      <c r="B298" s="12">
        <v>36903</v>
      </c>
      <c r="C298" s="6">
        <v>5.0519999999999996</v>
      </c>
      <c r="D298" s="6">
        <v>5.0519999999999996</v>
      </c>
      <c r="E298" s="6">
        <v>5.0519999999999996</v>
      </c>
      <c r="F298" s="6">
        <v>5.0519999999999996</v>
      </c>
      <c r="G298" s="7">
        <v>8.6699999999999999E-2</v>
      </c>
    </row>
    <row r="299" spans="2:7" x14ac:dyDescent="0.3">
      <c r="B299" s="12">
        <v>36902</v>
      </c>
      <c r="C299" s="6">
        <v>4.649</v>
      </c>
      <c r="D299" s="6">
        <v>4.649</v>
      </c>
      <c r="E299" s="6">
        <v>4.649</v>
      </c>
      <c r="F299" s="6">
        <v>4.649</v>
      </c>
      <c r="G299" s="7">
        <v>2.7199999999999998E-2</v>
      </c>
    </row>
    <row r="300" spans="2:7" x14ac:dyDescent="0.3">
      <c r="B300" s="12">
        <v>36901</v>
      </c>
      <c r="C300" s="6">
        <v>4.5259999999999998</v>
      </c>
      <c r="D300" s="6">
        <v>4.5259999999999998</v>
      </c>
      <c r="E300" s="6">
        <v>4.5259999999999998</v>
      </c>
      <c r="F300" s="6">
        <v>4.5259999999999998</v>
      </c>
      <c r="G300" s="7">
        <v>-7.0599999999999996E-2</v>
      </c>
    </row>
    <row r="301" spans="2:7" x14ac:dyDescent="0.3">
      <c r="B301" s="12">
        <v>36900</v>
      </c>
      <c r="C301" s="6">
        <v>4.87</v>
      </c>
      <c r="D301" s="6">
        <v>4.87</v>
      </c>
      <c r="E301" s="6">
        <v>4.87</v>
      </c>
      <c r="F301" s="6">
        <v>4.87</v>
      </c>
      <c r="G301" s="7">
        <v>6.7999999999999996E-3</v>
      </c>
    </row>
    <row r="302" spans="2:7" x14ac:dyDescent="0.3">
      <c r="B302" s="12">
        <v>36899</v>
      </c>
      <c r="C302" s="6">
        <v>4.8369999999999997</v>
      </c>
      <c r="D302" s="6">
        <v>4.8369999999999997</v>
      </c>
      <c r="E302" s="6">
        <v>4.8369999999999997</v>
      </c>
      <c r="F302" s="6">
        <v>4.8369999999999997</v>
      </c>
      <c r="G302" s="7">
        <v>-3.1E-2</v>
      </c>
    </row>
    <row r="303" spans="2:7" x14ac:dyDescent="0.3">
      <c r="B303" s="12">
        <v>36898</v>
      </c>
      <c r="C303" s="6">
        <v>4.992</v>
      </c>
      <c r="D303" s="6">
        <v>4.992</v>
      </c>
      <c r="E303" s="6">
        <v>4.992</v>
      </c>
      <c r="F303" s="6">
        <v>4.992</v>
      </c>
      <c r="G303" s="7">
        <v>-5.5300000000000002E-2</v>
      </c>
    </row>
    <row r="304" spans="2:7" x14ac:dyDescent="0.3">
      <c r="B304" s="12">
        <v>36897</v>
      </c>
      <c r="C304" s="6">
        <v>5.2839999999999998</v>
      </c>
      <c r="D304" s="6">
        <v>5.2839999999999998</v>
      </c>
      <c r="E304" s="6">
        <v>5.2839999999999998</v>
      </c>
      <c r="F304" s="6">
        <v>5.2839999999999998</v>
      </c>
      <c r="G304" s="7">
        <v>1.34E-2</v>
      </c>
    </row>
    <row r="305" spans="2:7" x14ac:dyDescent="0.3">
      <c r="B305" s="12">
        <v>36896</v>
      </c>
      <c r="C305" s="6">
        <v>5.2140000000000004</v>
      </c>
      <c r="D305" s="6">
        <v>5.2140000000000004</v>
      </c>
      <c r="E305" s="6">
        <v>5.2140000000000004</v>
      </c>
      <c r="F305" s="6">
        <v>5.2140000000000004</v>
      </c>
      <c r="G305" s="7">
        <v>1.9400000000000001E-2</v>
      </c>
    </row>
    <row r="306" spans="2:7" x14ac:dyDescent="0.3">
      <c r="B306" s="12">
        <v>36895</v>
      </c>
      <c r="C306" s="6">
        <v>5.1150000000000002</v>
      </c>
      <c r="D306" s="6">
        <v>5.1150000000000002</v>
      </c>
      <c r="E306" s="6">
        <v>5.1150000000000002</v>
      </c>
      <c r="F306" s="6">
        <v>5.1150000000000002</v>
      </c>
      <c r="G306" s="7">
        <v>5.5100000000000003E-2</v>
      </c>
    </row>
    <row r="307" spans="2:7" x14ac:dyDescent="0.3">
      <c r="B307" s="12">
        <v>36894</v>
      </c>
      <c r="C307" s="6">
        <v>4.8479999999999999</v>
      </c>
      <c r="D307" s="6">
        <v>4.8479999999999999</v>
      </c>
      <c r="E307" s="6">
        <v>4.8479999999999999</v>
      </c>
      <c r="F307" s="6">
        <v>4.8479999999999999</v>
      </c>
      <c r="G307" s="7">
        <v>-4.4999999999999997E-3</v>
      </c>
    </row>
    <row r="308" spans="2:7" x14ac:dyDescent="0.3">
      <c r="B308" s="12">
        <v>36893</v>
      </c>
      <c r="C308" s="6">
        <v>4.87</v>
      </c>
      <c r="D308" s="6">
        <v>4.87</v>
      </c>
      <c r="E308" s="6">
        <v>4.87</v>
      </c>
      <c r="F308" s="6">
        <v>4.87</v>
      </c>
      <c r="G308" s="7">
        <v>7.7000000000000002E-3</v>
      </c>
    </row>
    <row r="309" spans="2:7" x14ac:dyDescent="0.3">
      <c r="B309" s="13">
        <v>36892</v>
      </c>
      <c r="C309" s="8">
        <v>4.8330000000000002</v>
      </c>
      <c r="D309" s="8">
        <v>4.8330000000000002</v>
      </c>
      <c r="E309" s="8">
        <v>4.8330000000000002</v>
      </c>
      <c r="F309" s="8">
        <v>4.8330000000000002</v>
      </c>
      <c r="G309" s="9">
        <v>-6.4000000000000003E-3</v>
      </c>
    </row>
    <row r="311" spans="2:7" x14ac:dyDescent="0.3">
      <c r="B311" s="2" t="s">
        <v>33</v>
      </c>
    </row>
  </sheetData>
  <mergeCells count="1">
    <mergeCell ref="L15:R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showGridLines="0" workbookViewId="0">
      <selection activeCell="N13" sqref="N13"/>
    </sheetView>
  </sheetViews>
  <sheetFormatPr defaultRowHeight="14.4" x14ac:dyDescent="0.3"/>
  <cols>
    <col min="1" max="1" width="2" customWidth="1"/>
    <col min="3" max="3" width="14.5546875" bestFit="1" customWidth="1"/>
    <col min="5" max="5" width="14.21875" customWidth="1"/>
  </cols>
  <sheetData>
    <row r="1" spans="1:10" x14ac:dyDescent="0.3">
      <c r="A1" t="s">
        <v>27</v>
      </c>
    </row>
    <row r="2" spans="1:10" x14ac:dyDescent="0.3">
      <c r="B2" s="3" t="s">
        <v>15</v>
      </c>
      <c r="C2" s="5" t="s">
        <v>35</v>
      </c>
      <c r="E2" s="10" t="s">
        <v>36</v>
      </c>
      <c r="F2" s="80" t="s">
        <v>10</v>
      </c>
      <c r="G2" s="14">
        <f>AVERAGE(C12:C31)</f>
        <v>5.584999999999999E-2</v>
      </c>
    </row>
    <row r="3" spans="1:10" x14ac:dyDescent="0.3">
      <c r="B3" s="15">
        <v>1998</v>
      </c>
      <c r="C3" s="31">
        <v>3.2500000000000001E-2</v>
      </c>
      <c r="E3" s="6"/>
      <c r="F3" s="6"/>
      <c r="G3" s="1"/>
    </row>
    <row r="4" spans="1:10" x14ac:dyDescent="0.3">
      <c r="B4" s="15">
        <f>B3+1</f>
        <v>1999</v>
      </c>
      <c r="C4" s="31">
        <v>2.92E-2</v>
      </c>
      <c r="E4" s="4" t="s">
        <v>36</v>
      </c>
      <c r="F4" s="5" t="s">
        <v>18</v>
      </c>
      <c r="G4" s="14">
        <f>AVERAGE(C17:C31)</f>
        <v>5.6593333333333336E-2</v>
      </c>
    </row>
    <row r="5" spans="1:10" x14ac:dyDescent="0.3">
      <c r="B5" s="15">
        <f t="shared" ref="B5:B30" si="0">B4+1</f>
        <v>2000</v>
      </c>
      <c r="C5" s="31">
        <v>2.24E-2</v>
      </c>
      <c r="E5" s="6"/>
      <c r="F5" s="6"/>
      <c r="G5" s="1"/>
    </row>
    <row r="6" spans="1:10" x14ac:dyDescent="0.3">
      <c r="B6" s="15">
        <f t="shared" si="0"/>
        <v>2001</v>
      </c>
      <c r="C6" s="31">
        <v>2.9000000000000001E-2</v>
      </c>
      <c r="E6" s="4" t="s">
        <v>36</v>
      </c>
      <c r="F6" s="5" t="s">
        <v>12</v>
      </c>
      <c r="G6" s="14">
        <f>-AVERAGE(C22:C31)</f>
        <v>-5.6559999999999999E-2</v>
      </c>
    </row>
    <row r="7" spans="1:10" x14ac:dyDescent="0.3">
      <c r="B7" s="15">
        <f t="shared" si="0"/>
        <v>2002</v>
      </c>
      <c r="C7" s="31">
        <v>3.04E-2</v>
      </c>
      <c r="E7" s="6"/>
      <c r="F7" s="6"/>
      <c r="G7" s="1"/>
    </row>
    <row r="8" spans="1:10" x14ac:dyDescent="0.3">
      <c r="B8" s="15">
        <f t="shared" si="0"/>
        <v>2003</v>
      </c>
      <c r="C8" s="31">
        <v>4.4600000000000001E-2</v>
      </c>
      <c r="E8" s="4" t="s">
        <v>36</v>
      </c>
      <c r="F8" s="5" t="s">
        <v>13</v>
      </c>
      <c r="G8" s="14">
        <f>AVERAGE(C27:C31)</f>
        <v>5.0599999999999999E-2</v>
      </c>
    </row>
    <row r="9" spans="1:10" x14ac:dyDescent="0.3">
      <c r="B9" s="15">
        <f t="shared" si="0"/>
        <v>2004</v>
      </c>
      <c r="C9" s="31">
        <v>3.6799999999999999E-2</v>
      </c>
      <c r="E9" s="6"/>
      <c r="F9" s="6"/>
      <c r="G9" s="1"/>
    </row>
    <row r="10" spans="1:10" x14ac:dyDescent="0.3">
      <c r="B10" s="15">
        <f t="shared" si="0"/>
        <v>2005</v>
      </c>
      <c r="C10" s="31">
        <v>4.0899999999999999E-2</v>
      </c>
      <c r="E10" s="4" t="s">
        <v>36</v>
      </c>
      <c r="F10" s="5" t="s">
        <v>14</v>
      </c>
      <c r="G10" s="14">
        <f>AVERAGE(C29:C31)</f>
        <v>4.8300000000000003E-2</v>
      </c>
    </row>
    <row r="11" spans="1:10" x14ac:dyDescent="0.3">
      <c r="B11" s="15">
        <f t="shared" si="0"/>
        <v>2006</v>
      </c>
      <c r="C11" s="31">
        <v>4.5400000000000003E-2</v>
      </c>
      <c r="E11" s="6"/>
      <c r="F11" s="6"/>
      <c r="G11" s="1"/>
    </row>
    <row r="12" spans="1:10" x14ac:dyDescent="0.3">
      <c r="B12" s="15">
        <f t="shared" si="0"/>
        <v>2007</v>
      </c>
      <c r="C12" s="31">
        <v>3.9199999999999999E-2</v>
      </c>
      <c r="E12" s="4" t="s">
        <v>36</v>
      </c>
      <c r="F12" s="5" t="s">
        <v>37</v>
      </c>
      <c r="G12" s="14">
        <f>C31</f>
        <v>4.2900000000000001E-2</v>
      </c>
    </row>
    <row r="13" spans="1:10" x14ac:dyDescent="0.3">
      <c r="B13" s="15">
        <f t="shared" si="0"/>
        <v>2008</v>
      </c>
      <c r="C13" s="31">
        <v>5.4600000000000003E-2</v>
      </c>
    </row>
    <row r="14" spans="1:10" x14ac:dyDescent="0.3">
      <c r="B14" s="15">
        <f t="shared" si="0"/>
        <v>2009</v>
      </c>
      <c r="C14" s="31">
        <v>7.1300000000000002E-2</v>
      </c>
    </row>
    <row r="15" spans="1:10" x14ac:dyDescent="0.3">
      <c r="B15" s="15">
        <f t="shared" si="0"/>
        <v>2010</v>
      </c>
      <c r="C15" s="31">
        <v>0.05</v>
      </c>
    </row>
    <row r="16" spans="1:10" ht="15.6" x14ac:dyDescent="0.3">
      <c r="B16" s="15">
        <f t="shared" si="0"/>
        <v>2011</v>
      </c>
      <c r="C16" s="31">
        <v>5.2999999999999999E-2</v>
      </c>
      <c r="E16" s="90" t="s">
        <v>38</v>
      </c>
      <c r="F16" s="90"/>
      <c r="G16" s="90"/>
      <c r="H16" s="90"/>
      <c r="I16" s="90"/>
      <c r="J16" s="91"/>
    </row>
    <row r="17" spans="2:3" x14ac:dyDescent="0.3">
      <c r="B17" s="15">
        <f t="shared" si="0"/>
        <v>2012</v>
      </c>
      <c r="C17" s="31">
        <v>7.1499999999999994E-2</v>
      </c>
    </row>
    <row r="18" spans="2:3" x14ac:dyDescent="0.3">
      <c r="B18" s="15">
        <f t="shared" si="0"/>
        <v>2013</v>
      </c>
      <c r="C18" s="31">
        <v>5.8999999999999997E-2</v>
      </c>
    </row>
    <row r="19" spans="2:3" x14ac:dyDescent="0.3">
      <c r="B19" s="15">
        <f t="shared" si="0"/>
        <v>2014</v>
      </c>
      <c r="C19" s="31">
        <v>4.7300000000000002E-2</v>
      </c>
    </row>
    <row r="20" spans="2:3" x14ac:dyDescent="0.3">
      <c r="B20" s="15">
        <f t="shared" si="0"/>
        <v>2015</v>
      </c>
      <c r="C20" s="31">
        <v>5.1999999999999998E-2</v>
      </c>
    </row>
    <row r="21" spans="2:3" x14ac:dyDescent="0.3">
      <c r="B21" s="15">
        <f t="shared" si="0"/>
        <v>2016</v>
      </c>
      <c r="C21" s="31">
        <v>5.3499999999999999E-2</v>
      </c>
    </row>
    <row r="22" spans="2:3" x14ac:dyDescent="0.3">
      <c r="B22" s="15">
        <f t="shared" si="0"/>
        <v>2017</v>
      </c>
      <c r="C22" s="31">
        <v>5.5599999999999997E-2</v>
      </c>
    </row>
    <row r="23" spans="2:3" x14ac:dyDescent="0.3">
      <c r="B23" s="15">
        <f t="shared" si="0"/>
        <v>2018</v>
      </c>
      <c r="C23" s="31">
        <v>5.4399999999999997E-2</v>
      </c>
    </row>
    <row r="24" spans="2:3" x14ac:dyDescent="0.3">
      <c r="B24" s="15">
        <f t="shared" si="0"/>
        <v>2019</v>
      </c>
      <c r="C24" s="31">
        <v>7.0800000000000002E-2</v>
      </c>
    </row>
    <row r="25" spans="2:3" x14ac:dyDescent="0.3">
      <c r="B25" s="15">
        <f t="shared" si="0"/>
        <v>2020</v>
      </c>
      <c r="C25" s="31">
        <v>6.5799999999999997E-2</v>
      </c>
    </row>
    <row r="26" spans="2:3" x14ac:dyDescent="0.3">
      <c r="B26" s="15">
        <f t="shared" si="0"/>
        <v>2021</v>
      </c>
      <c r="C26" s="31">
        <v>6.6000000000000003E-2</v>
      </c>
    </row>
    <row r="27" spans="2:3" x14ac:dyDescent="0.3">
      <c r="B27" s="15">
        <f>B26+1</f>
        <v>2022</v>
      </c>
      <c r="C27" s="31">
        <v>5.57E-2</v>
      </c>
    </row>
    <row r="28" spans="2:3" x14ac:dyDescent="0.3">
      <c r="B28" s="15">
        <f t="shared" si="0"/>
        <v>2023</v>
      </c>
      <c r="C28" s="31">
        <v>5.2400000000000002E-2</v>
      </c>
    </row>
    <row r="29" spans="2:3" x14ac:dyDescent="0.3">
      <c r="B29" s="15">
        <f t="shared" si="0"/>
        <v>2024</v>
      </c>
      <c r="C29" s="31">
        <v>5.2999999999999999E-2</v>
      </c>
    </row>
    <row r="30" spans="2:3" x14ac:dyDescent="0.3">
      <c r="B30" s="15">
        <f t="shared" si="0"/>
        <v>2025</v>
      </c>
      <c r="C30" s="31">
        <v>4.9000000000000002E-2</v>
      </c>
    </row>
    <row r="31" spans="2:3" x14ac:dyDescent="0.3">
      <c r="B31" s="18">
        <f>B30+1</f>
        <v>2026</v>
      </c>
      <c r="C31" s="32">
        <v>4.2900000000000001E-2</v>
      </c>
    </row>
    <row r="33" spans="2:3" x14ac:dyDescent="0.3">
      <c r="B33" s="2" t="s">
        <v>42</v>
      </c>
      <c r="C33" s="2"/>
    </row>
  </sheetData>
  <mergeCells count="1">
    <mergeCell ref="E16:J16"/>
  </mergeCells>
  <pageMargins left="0.7" right="0.7" top="0.75" bottom="0.75" header="0.3" footer="0.3"/>
  <ignoredErrors>
    <ignoredError sqref="G10 G8 G6 G4 G2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Valuation&gt;</vt:lpstr>
      <vt:lpstr>FTSE 100 Valuation </vt:lpstr>
      <vt:lpstr>Data&gt; </vt:lpstr>
      <vt:lpstr>Exp Div&amp;Buybacks</vt:lpstr>
      <vt:lpstr>FTSE EPS Growth</vt:lpstr>
      <vt:lpstr>FTSE Historicals</vt:lpstr>
      <vt:lpstr>Risk Free Rate</vt:lpstr>
      <vt:lpstr>ERP 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Tokse</dc:creator>
  <cp:lastModifiedBy>Tanishq Tokse</cp:lastModifiedBy>
  <dcterms:created xsi:type="dcterms:W3CDTF">2026-07-29T07:55:16Z</dcterms:created>
  <dcterms:modified xsi:type="dcterms:W3CDTF">2026-08-21T08:04:11Z</dcterms:modified>
</cp:coreProperties>
</file>